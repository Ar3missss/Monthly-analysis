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acbookair/Documents/Monthly Record Sheet/"/>
    </mc:Choice>
  </mc:AlternateContent>
  <xr:revisionPtr revIDLastSave="0" documentId="13_ncr:1_{83EF813A-01D6-9842-957C-838056B9AA97}" xr6:coauthVersionLast="47" xr6:coauthVersionMax="47" xr10:uidLastSave="{00000000-0000-0000-0000-000000000000}"/>
  <bookViews>
    <workbookView xWindow="0" yWindow="600" windowWidth="28800" windowHeight="15740" activeTab="2" xr2:uid="{EE400EB6-FC21-334D-B3B8-616EEFF21D8C}"/>
  </bookViews>
  <sheets>
    <sheet name="daily recoed sheet" sheetId="1" r:id="rId1"/>
    <sheet name="FEB-2026" sheetId="2" r:id="rId2"/>
    <sheet name="MAR-2026" sheetId="3" r:id="rId3"/>
    <sheet name="APRIL-2026" sheetId="4" r:id="rId4"/>
  </sheets>
  <definedNames>
    <definedName name="_xlnm._FilterDatabase" localSheetId="3" hidden="1">'APRIL-2026'!$A$3:$E$3</definedName>
    <definedName name="_xlnm._FilterDatabase" localSheetId="0" hidden="1">'daily recoed sheet'!$A$3:$E$41</definedName>
    <definedName name="_xlnm._FilterDatabase" localSheetId="1" hidden="1">'FEB-2026'!$A$4:$E$192</definedName>
    <definedName name="_xlnm._FilterDatabase" localSheetId="2" hidden="1">'MAR-2026'!$A$3:$E$3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4" l="1"/>
  <c r="D19" i="4"/>
  <c r="D7" i="4"/>
  <c r="D4" i="4"/>
  <c r="E4" i="4" s="1"/>
  <c r="E5" i="4" s="1"/>
  <c r="D69" i="3"/>
  <c r="D70" i="3"/>
  <c r="D61" i="3"/>
  <c r="D58" i="3"/>
  <c r="D27" i="3"/>
  <c r="D15" i="3"/>
  <c r="D12" i="3"/>
  <c r="D7" i="3"/>
  <c r="D11" i="3"/>
  <c r="E4" i="3"/>
  <c r="E5" i="3" s="1"/>
  <c r="E6" i="3" s="1"/>
  <c r="D48" i="2"/>
  <c r="D41" i="2"/>
  <c r="D36" i="2"/>
  <c r="D30" i="2"/>
  <c r="D22" i="2"/>
  <c r="E5" i="2"/>
  <c r="E6" i="2" s="1"/>
  <c r="E7" i="2" s="1"/>
  <c r="D8" i="2"/>
  <c r="D28" i="1"/>
  <c r="D29" i="1"/>
  <c r="D15" i="1"/>
  <c r="E4" i="1"/>
  <c r="H4" i="1"/>
  <c r="D11" i="1"/>
  <c r="H3" i="1"/>
  <c r="E6" i="4" l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2" i="4" s="1"/>
  <c r="E7" i="3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8" i="2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H5" i="1"/>
  <c r="H6" i="1" s="1"/>
  <c r="E24" i="3" l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2" i="3" s="1"/>
  <c r="E50" i="2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3" i="2" s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2" i="1" s="1"/>
</calcChain>
</file>

<file path=xl/sharedStrings.xml><?xml version="1.0" encoding="utf-8"?>
<sst xmlns="http://schemas.openxmlformats.org/spreadsheetml/2006/main" count="241" uniqueCount="113">
  <si>
    <t>Opening Balance</t>
  </si>
  <si>
    <t>Current Balance</t>
  </si>
  <si>
    <t xml:space="preserve">Date </t>
  </si>
  <si>
    <t>Details</t>
  </si>
  <si>
    <t>Income</t>
  </si>
  <si>
    <t>Expenses</t>
  </si>
  <si>
    <t>Balance</t>
  </si>
  <si>
    <t>OPENING BALANCE</t>
  </si>
  <si>
    <t>TOTAL INCOME</t>
  </si>
  <si>
    <t>TOTAL EXPENSES</t>
  </si>
  <si>
    <t>BALANCE</t>
  </si>
  <si>
    <t>Cab 1</t>
  </si>
  <si>
    <t>Cab 2</t>
  </si>
  <si>
    <t>Auto</t>
  </si>
  <si>
    <t>Food</t>
  </si>
  <si>
    <t>Egg Tray</t>
  </si>
  <si>
    <t>Friend</t>
  </si>
  <si>
    <t xml:space="preserve">Mpokket </t>
  </si>
  <si>
    <t xml:space="preserve"> Wednesday, January 21, 2026</t>
  </si>
  <si>
    <t>Daily Record Sheet Specific</t>
  </si>
  <si>
    <t>rice</t>
  </si>
  <si>
    <t>vegetable</t>
  </si>
  <si>
    <t>dal</t>
  </si>
  <si>
    <t>salt</t>
  </si>
  <si>
    <t>tomato</t>
  </si>
  <si>
    <t>onion</t>
  </si>
  <si>
    <t>atta</t>
  </si>
  <si>
    <t>gajar halwa</t>
  </si>
  <si>
    <t>refined(1) &amp; mustarad oil (1)</t>
  </si>
  <si>
    <t>vegies</t>
  </si>
  <si>
    <t>old remaining debt</t>
  </si>
  <si>
    <t>petrol</t>
  </si>
  <si>
    <t>Cylinder (3.5 kg)</t>
  </si>
  <si>
    <t>Cylinder (5.5 kg)</t>
  </si>
  <si>
    <t>vegies (24 jan to 29 jan)</t>
  </si>
  <si>
    <t>Date</t>
  </si>
  <si>
    <t>February Month Record Sheet</t>
  </si>
  <si>
    <t>TOTAL SAVINGS IN JAN 2026 = 623.68</t>
  </si>
  <si>
    <t xml:space="preserve">OPENING BALANCE </t>
  </si>
  <si>
    <t>CURRENT BALANCE</t>
  </si>
  <si>
    <t>Rent</t>
  </si>
  <si>
    <t>Ration</t>
  </si>
  <si>
    <t>Vegies</t>
  </si>
  <si>
    <t>Mpokket</t>
  </si>
  <si>
    <t>Cook</t>
  </si>
  <si>
    <t>save minimum 500</t>
  </si>
  <si>
    <t>MCT Oil + Book</t>
  </si>
  <si>
    <t>Paneer</t>
  </si>
  <si>
    <t>Light Repair</t>
  </si>
  <si>
    <t>Petrol</t>
  </si>
  <si>
    <t>drainage cleaner</t>
  </si>
  <si>
    <t>kitchen napkins</t>
  </si>
  <si>
    <t>Assignment Pages</t>
  </si>
  <si>
    <t xml:space="preserve">Vegies </t>
  </si>
  <si>
    <t>sugar</t>
  </si>
  <si>
    <t>mirch+printout</t>
  </si>
  <si>
    <t>Cylinder (5.5kg)</t>
  </si>
  <si>
    <t>print+Aryan</t>
  </si>
  <si>
    <t>Onion + Dahi</t>
  </si>
  <si>
    <t>Moisturizer</t>
  </si>
  <si>
    <t>atta (10kg)</t>
  </si>
  <si>
    <t>Bread</t>
  </si>
  <si>
    <t> </t>
  </si>
  <si>
    <t>poha</t>
  </si>
  <si>
    <t>kabuli chana</t>
  </si>
  <si>
    <t>pasta</t>
  </si>
  <si>
    <t>dahi</t>
  </si>
  <si>
    <t>Practical File</t>
  </si>
  <si>
    <t>print</t>
  </si>
  <si>
    <t>Juice</t>
  </si>
  <si>
    <t>Rice (5kg)</t>
  </si>
  <si>
    <t>Nutri</t>
  </si>
  <si>
    <t>MARCH MONTH RECORD SHEET</t>
  </si>
  <si>
    <t>Cakes</t>
  </si>
  <si>
    <t>Dal</t>
  </si>
  <si>
    <t>Book</t>
  </si>
  <si>
    <t>Row Labels</t>
  </si>
  <si>
    <t>Grand Total</t>
  </si>
  <si>
    <t>Sum of Expenses</t>
  </si>
  <si>
    <t>Poha</t>
  </si>
  <si>
    <t>Maggie</t>
  </si>
  <si>
    <t>Print</t>
  </si>
  <si>
    <t>Jeans</t>
  </si>
  <si>
    <t>Haircut</t>
  </si>
  <si>
    <t>Repair</t>
  </si>
  <si>
    <t>Atta (10kg)</t>
  </si>
  <si>
    <t>Emergency Fund</t>
  </si>
  <si>
    <t>Generator bill</t>
  </si>
  <si>
    <t>Bike Wash</t>
  </si>
  <si>
    <t>Pasta</t>
  </si>
  <si>
    <t>Veg Roll</t>
  </si>
  <si>
    <t>Archit</t>
  </si>
  <si>
    <t>Movie Ticket</t>
  </si>
  <si>
    <t>Family</t>
  </si>
  <si>
    <t>Chips</t>
  </si>
  <si>
    <t>Ice Cream</t>
  </si>
  <si>
    <t>Suncreen</t>
  </si>
  <si>
    <t>Fees</t>
  </si>
  <si>
    <t>Donation</t>
  </si>
  <si>
    <t>Cabs</t>
  </si>
  <si>
    <t>Snacks</t>
  </si>
  <si>
    <t>Skincare</t>
  </si>
  <si>
    <t>save minimum500</t>
  </si>
  <si>
    <t>APRIL MONTH RECORD SHEET</t>
  </si>
  <si>
    <t>Old Debt</t>
  </si>
  <si>
    <t>Shirt</t>
  </si>
  <si>
    <t>Coursera</t>
  </si>
  <si>
    <t>Dahi</t>
  </si>
  <si>
    <t>Bus</t>
  </si>
  <si>
    <t>File + Print</t>
  </si>
  <si>
    <t xml:space="preserve">File </t>
  </si>
  <si>
    <t>Khoa</t>
  </si>
  <si>
    <t>Chia 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</si>
</sst>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30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B0F0"/>
      <name val="Aptos Narrow"/>
      <family val="2"/>
      <scheme val="minor"/>
    </font>
    <font>
      <sz val="12"/>
      <color rgb="FFFFC000"/>
      <name val="Aptos Narrow"/>
      <family val="2"/>
      <scheme val="minor"/>
    </font>
    <font>
      <sz val="12"/>
      <color rgb="FF00B050"/>
      <name val="Aptos Narrow"/>
      <family val="2"/>
      <scheme val="minor"/>
    </font>
    <font>
      <sz val="12"/>
      <color theme="8" tint="-0.499984740745262"/>
      <name val="Aptos Narrow"/>
      <family val="2"/>
      <scheme val="minor"/>
    </font>
    <font>
      <sz val="12"/>
      <color rgb="FFFFFF00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i/>
      <sz val="12"/>
      <color rgb="FFFF0000"/>
      <name val="Aptos Narrow"/>
      <scheme val="minor"/>
    </font>
    <font>
      <sz val="12"/>
      <color theme="6" tint="0.39997558519241921"/>
      <name val="Aptos Narrow"/>
      <family val="2"/>
      <scheme val="minor"/>
    </font>
    <font>
      <sz val="12"/>
      <color theme="8" tint="0.39997558519241921"/>
      <name val="Aptos Narrow"/>
      <family val="2"/>
      <scheme val="minor"/>
    </font>
    <font>
      <sz val="12"/>
      <color theme="5" tint="-0.249977111117893"/>
      <name val="Aptos Narrow"/>
      <family val="2"/>
      <scheme val="minor"/>
    </font>
    <font>
      <sz val="12"/>
      <color theme="3" tint="0.249977111117893"/>
      <name val="Aptos Narrow"/>
      <family val="2"/>
      <scheme val="minor"/>
    </font>
    <font>
      <sz val="12"/>
      <color rgb="FF7030A0"/>
      <name val="Aptos Narrow"/>
      <family val="2"/>
      <scheme val="minor"/>
    </font>
    <font>
      <sz val="12"/>
      <color theme="7" tint="0.39997558519241921"/>
      <name val="Aptos Narrow"/>
      <family val="2"/>
      <scheme val="minor"/>
    </font>
    <font>
      <sz val="12"/>
      <color theme="8" tint="-0.249977111117893"/>
      <name val="Aptos Narrow"/>
      <family val="2"/>
      <scheme val="minor"/>
    </font>
    <font>
      <sz val="12"/>
      <color theme="5"/>
      <name val="Aptos Narrow"/>
      <family val="2"/>
      <scheme val="minor"/>
    </font>
    <font>
      <sz val="12"/>
      <color theme="6" tint="-0.249977111117893"/>
      <name val="Aptos Narrow"/>
      <family val="2"/>
      <scheme val="minor"/>
    </font>
    <font>
      <sz val="12"/>
      <color theme="7"/>
      <name val="Aptos Narrow"/>
      <family val="2"/>
      <scheme val="minor"/>
    </font>
    <font>
      <sz val="12"/>
      <color theme="9" tint="0.39997558519241921"/>
      <name val="Aptos Narrow"/>
      <family val="2"/>
      <scheme val="minor"/>
    </font>
    <font>
      <sz val="12"/>
      <color rgb="FF002060"/>
      <name val="Aptos Narrow"/>
      <family val="2"/>
      <scheme val="minor"/>
    </font>
    <font>
      <b/>
      <i/>
      <sz val="16"/>
      <color theme="0"/>
      <name val="Aptos Narrow"/>
      <scheme val="minor"/>
    </font>
    <font>
      <sz val="12"/>
      <color theme="5" tint="0.3999755851924192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D524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" xfId="0" applyBorder="1"/>
    <xf numFmtId="0" fontId="3" fillId="3" borderId="0" xfId="0" applyFont="1" applyFill="1"/>
    <xf numFmtId="0" fontId="0" fillId="4" borderId="1" xfId="0" applyFill="1" applyBorder="1"/>
    <xf numFmtId="0" fontId="0" fillId="3" borderId="1" xfId="0" applyFill="1" applyBorder="1"/>
    <xf numFmtId="0" fontId="1" fillId="5" borderId="0" xfId="0" applyFont="1" applyFill="1"/>
    <xf numFmtId="0" fontId="0" fillId="2" borderId="1" xfId="0" applyFill="1" applyBorder="1"/>
    <xf numFmtId="0" fontId="0" fillId="5" borderId="1" xfId="0" applyFill="1" applyBorder="1"/>
    <xf numFmtId="164" fontId="5" fillId="0" borderId="1" xfId="0" applyNumberFormat="1" applyFont="1" applyBorder="1"/>
    <xf numFmtId="164" fontId="6" fillId="0" borderId="1" xfId="0" applyNumberFormat="1" applyFont="1" applyBorder="1"/>
    <xf numFmtId="164" fontId="7" fillId="0" borderId="1" xfId="0" applyNumberFormat="1" applyFont="1" applyBorder="1"/>
    <xf numFmtId="164" fontId="8" fillId="0" borderId="1" xfId="0" applyNumberFormat="1" applyFont="1" applyBorder="1"/>
    <xf numFmtId="164" fontId="9" fillId="0" borderId="1" xfId="0" applyNumberFormat="1" applyFont="1" applyBorder="1"/>
    <xf numFmtId="164" fontId="10" fillId="0" borderId="1" xfId="0" applyNumberFormat="1" applyFont="1" applyBorder="1"/>
    <xf numFmtId="0" fontId="11" fillId="0" borderId="1" xfId="0" applyFont="1" applyBorder="1"/>
    <xf numFmtId="164" fontId="12" fillId="0" borderId="1" xfId="0" applyNumberFormat="1" applyFont="1" applyBorder="1"/>
    <xf numFmtId="0" fontId="13" fillId="4" borderId="1" xfId="0" applyFont="1" applyFill="1" applyBorder="1"/>
    <xf numFmtId="0" fontId="13" fillId="6" borderId="1" xfId="0" applyFont="1" applyFill="1" applyBorder="1"/>
    <xf numFmtId="0" fontId="13" fillId="7" borderId="1" xfId="0" applyFont="1" applyFill="1" applyBorder="1"/>
    <xf numFmtId="0" fontId="13" fillId="8" borderId="1" xfId="0" applyFont="1" applyFill="1" applyBorder="1"/>
    <xf numFmtId="0" fontId="13" fillId="9" borderId="1" xfId="0" applyFont="1" applyFill="1" applyBorder="1"/>
    <xf numFmtId="0" fontId="14" fillId="11" borderId="2" xfId="0" applyFont="1" applyFill="1" applyBorder="1" applyAlignment="1">
      <alignment horizontal="center"/>
    </xf>
    <xf numFmtId="0" fontId="14" fillId="11" borderId="4" xfId="0" applyFont="1" applyFill="1" applyBorder="1" applyAlignment="1">
      <alignment horizontal="center"/>
    </xf>
    <xf numFmtId="3" fontId="14" fillId="12" borderId="4" xfId="0" applyNumberFormat="1" applyFont="1" applyFill="1" applyBorder="1" applyAlignment="1">
      <alignment horizontal="center"/>
    </xf>
    <xf numFmtId="2" fontId="0" fillId="0" borderId="1" xfId="0" applyNumberFormat="1" applyBorder="1"/>
    <xf numFmtId="2" fontId="14" fillId="12" borderId="3" xfId="0" applyNumberFormat="1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164" fontId="16" fillId="0" borderId="1" xfId="0" applyNumberFormat="1" applyFont="1" applyBorder="1"/>
    <xf numFmtId="164" fontId="0" fillId="0" borderId="1" xfId="0" applyNumberFormat="1" applyBorder="1"/>
    <xf numFmtId="164" fontId="17" fillId="0" borderId="1" xfId="0" applyNumberFormat="1" applyFont="1" applyBorder="1"/>
    <xf numFmtId="164" fontId="18" fillId="0" borderId="1" xfId="0" applyNumberFormat="1" applyFont="1" applyBorder="1"/>
    <xf numFmtId="164" fontId="19" fillId="0" borderId="1" xfId="0" applyNumberFormat="1" applyFont="1" applyBorder="1"/>
    <xf numFmtId="164" fontId="20" fillId="0" borderId="1" xfId="0" applyNumberFormat="1" applyFont="1" applyBorder="1"/>
    <xf numFmtId="164" fontId="21" fillId="0" borderId="1" xfId="0" applyNumberFormat="1" applyFont="1" applyBorder="1"/>
    <xf numFmtId="164" fontId="22" fillId="0" borderId="1" xfId="0" applyNumberFormat="1" applyFont="1" applyBorder="1"/>
    <xf numFmtId="164" fontId="23" fillId="0" borderId="1" xfId="0" applyNumberFormat="1" applyFont="1" applyBorder="1"/>
    <xf numFmtId="0" fontId="14" fillId="11" borderId="1" xfId="0" applyFont="1" applyFill="1" applyBorder="1" applyAlignment="1">
      <alignment horizontal="center"/>
    </xf>
    <xf numFmtId="3" fontId="14" fillId="12" borderId="1" xfId="0" applyNumberFormat="1" applyFont="1" applyFill="1" applyBorder="1" applyAlignment="1">
      <alignment horizontal="center"/>
    </xf>
    <xf numFmtId="0" fontId="13" fillId="13" borderId="1" xfId="0" applyFont="1" applyFill="1" applyBorder="1"/>
    <xf numFmtId="0" fontId="13" fillId="14" borderId="1" xfId="0" applyFont="1" applyFill="1" applyBorder="1"/>
    <xf numFmtId="0" fontId="15" fillId="2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24" fillId="0" borderId="1" xfId="0" applyNumberFormat="1" applyFont="1" applyBorder="1"/>
    <xf numFmtId="2" fontId="14" fillId="12" borderId="1" xfId="0" applyNumberFormat="1" applyFont="1" applyFill="1" applyBorder="1"/>
    <xf numFmtId="164" fontId="25" fillId="0" borderId="1" xfId="0" applyNumberFormat="1" applyFont="1" applyBorder="1"/>
    <xf numFmtId="164" fontId="26" fillId="0" borderId="1" xfId="0" applyNumberFormat="1" applyFont="1" applyBorder="1"/>
    <xf numFmtId="164" fontId="27" fillId="0" borderId="1" xfId="0" applyNumberFormat="1" applyFont="1" applyBorder="1"/>
    <xf numFmtId="0" fontId="14" fillId="16" borderId="1" xfId="0" applyFont="1" applyFill="1" applyBorder="1"/>
    <xf numFmtId="3" fontId="14" fillId="4" borderId="1" xfId="0" applyNumberFormat="1" applyFont="1" applyFill="1" applyBorder="1"/>
    <xf numFmtId="0" fontId="0" fillId="9" borderId="1" xfId="0" applyFill="1" applyBorder="1"/>
    <xf numFmtId="0" fontId="0" fillId="8" borderId="1" xfId="0" applyFill="1" applyBorder="1"/>
    <xf numFmtId="0" fontId="0" fillId="15" borderId="1" xfId="0" applyFill="1" applyBorder="1"/>
    <xf numFmtId="0" fontId="0" fillId="7" borderId="1" xfId="0" applyFill="1" applyBorder="1"/>
    <xf numFmtId="3" fontId="0" fillId="17" borderId="1" xfId="0" applyNumberFormat="1" applyFill="1" applyBorder="1"/>
    <xf numFmtId="2" fontId="0" fillId="4" borderId="1" xfId="0" applyNumberFormat="1" applyFill="1" applyBorder="1"/>
    <xf numFmtId="0" fontId="28" fillId="10" borderId="1" xfId="0" applyFont="1" applyFill="1" applyBorder="1"/>
    <xf numFmtId="164" fontId="29" fillId="0" borderId="1" xfId="0" applyNumberFormat="1" applyFont="1" applyBorder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fill>
        <patternFill>
          <bgColor theme="0" tint="-0.14996795556505021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</dxfs>
  <tableStyles count="1" defaultTableStyle="TableStyleMedium2" defaultPivotStyle="PivotStyleLight16">
    <tableStyle name="SlicerStyleLight5 2" pivot="0" table="0" count="11" xr9:uid="{FF1FF837-1C36-F04D-BC8B-70E77141E629}">
      <tableStyleElement type="wholeTable" dxfId="13"/>
      <tableStyleElement type="headerRow" dxfId="12"/>
      <tableStyleElement type="firstColumnStripe" dxfId="11"/>
    </tableStyle>
  </tableStyles>
  <colors>
    <mruColors>
      <color rgb="FFFD524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5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Book Air" refreshedDate="46081.862188310188" createdVersion="8" refreshedVersion="8" minRefreshableVersion="3" recordCount="50" xr:uid="{687AF09E-08F7-584C-AED4-BC6100BEEFE8}">
  <cacheSource type="worksheet">
    <worksheetSource ref="A4:E54" sheet="FEB-2026"/>
  </cacheSource>
  <cacheFields count="5">
    <cacheField name="Date" numFmtId="164">
      <sharedItems containsSemiMixedTypes="0" containsNonDate="0" containsDate="1" containsString="0" minDate="2026-01-30T00:00:00" maxDate="2026-03-01T00:00:00" count="22">
        <d v="2026-01-30T00:00:00"/>
        <d v="2026-01-31T00:00:00"/>
        <d v="2026-02-01T00:00:00"/>
        <d v="2026-02-03T00:00:00"/>
        <d v="2026-02-04T00:00:00"/>
        <d v="2026-02-07T00:00:00"/>
        <d v="2026-02-08T00:00:00"/>
        <d v="2026-02-09T00:00:00"/>
        <d v="2026-02-10T00:00:00"/>
        <d v="2026-02-11T00:00:00"/>
        <d v="2026-02-13T00:00:00"/>
        <d v="2026-02-14T00:00:00"/>
        <d v="2026-02-15T00:00:00"/>
        <d v="2026-02-16T00:00:00"/>
        <d v="2026-02-17T00:00:00"/>
        <d v="2026-02-19T00:00:00"/>
        <d v="2026-02-21T00:00:00"/>
        <d v="2026-02-22T00:00:00"/>
        <d v="2026-02-23T00:00:00"/>
        <d v="2026-02-24T00:00:00"/>
        <d v="2026-02-26T00:00:00"/>
        <d v="2026-02-28T00:00:00"/>
      </sharedItems>
    </cacheField>
    <cacheField name="Details" numFmtId="0">
      <sharedItems count="31">
        <s v="Rent"/>
        <s v="Ration"/>
        <s v="Vegies"/>
        <s v="Mpokket"/>
        <s v="Cook"/>
        <s v="MCT Oil + Book"/>
        <s v="Paneer"/>
        <s v="Light Repair"/>
        <s v="Petrol"/>
        <s v="drainage cleaner"/>
        <s v="Egg Tray"/>
        <s v="kitchen napkins"/>
        <s v="Assignment Pages"/>
        <s v="Vegies "/>
        <s v="sugar"/>
        <s v="Rice (5kg)"/>
        <s v="mirch+printout"/>
        <s v="Cylinder (5.5kg)"/>
        <s v="print+Aryan"/>
        <s v="Onion + Dahi"/>
        <s v="Moisturizer"/>
        <s v="atta (10kg)"/>
        <s v="Bread"/>
        <s v="poha"/>
        <s v="kabuli chana"/>
        <s v="pasta"/>
        <s v="dahi"/>
        <s v="Practical File"/>
        <s v="print"/>
        <s v="Juice"/>
        <s v="Nutri"/>
      </sharedItems>
    </cacheField>
    <cacheField name="Income" numFmtId="0">
      <sharedItems containsString="0" containsBlank="1" containsNumber="1" minValue="20" maxValue="241.9"/>
    </cacheField>
    <cacheField name="Expenses" numFmtId="0">
      <sharedItems containsSemiMixedTypes="0" containsString="0" containsNumber="1" minValue="2.25" maxValue="4666.67"/>
    </cacheField>
    <cacheField name="Balance" numFmtId="2">
      <sharedItems containsSemiMixedTypes="0" containsString="0" containsNumber="1" minValue="12.769999999999825" maxValue="5333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Book Air" refreshedDate="46111.968552314815" createdVersion="8" refreshedVersion="8" minRefreshableVersion="3" recordCount="69" xr:uid="{DD39B6B2-7056-4D44-BDE6-AAC939610902}">
  <cacheSource type="worksheet">
    <worksheetSource ref="A3:E72" sheet="MAR-2026"/>
  </cacheSource>
  <cacheFields count="5">
    <cacheField name="Date" numFmtId="164">
      <sharedItems containsSemiMixedTypes="0" containsNonDate="0" containsDate="1" containsString="0" minDate="2026-03-01T00:00:00" maxDate="2026-03-30T00:00:00"/>
    </cacheField>
    <cacheField name="Details" numFmtId="0">
      <sharedItems count="40">
        <s v="Rent"/>
        <s v="Cylinder (5.5kg)"/>
        <s v="Petrol"/>
        <s v="Cakes"/>
        <s v="Dal"/>
        <s v="Book"/>
        <s v="Cook"/>
        <s v="Mpokket"/>
        <s v="Ration"/>
        <s v="Bread"/>
        <s v="Egg Tray"/>
        <s v="Vegies"/>
        <s v="Poha"/>
        <s v="Maggie"/>
        <s v="Print"/>
        <s v="Auto"/>
        <s v="Jeans"/>
        <s v="Haircut"/>
        <s v="Repair"/>
        <s v="Atta (10kg)"/>
        <s v="Rice (5kg)"/>
        <s v="Emergency Fund"/>
        <s v="Juice"/>
        <s v="Generator bill"/>
        <s v="Bike Wash"/>
        <s v="Pasta"/>
        <s v="Veg Roll"/>
        <s v="Archit"/>
        <s v="Movie Ticket"/>
        <s v="Family"/>
        <s v="Chips"/>
        <s v="Ice Cream"/>
        <s v="Suncreen"/>
        <s v="Fees"/>
        <s v="Donation"/>
        <s v="Cabs"/>
        <s v="Snacks"/>
        <s v="Food"/>
        <s v="Skincare"/>
        <s v="Friend"/>
      </sharedItems>
    </cacheField>
    <cacheField name="Income" numFmtId="0">
      <sharedItems containsString="0" containsBlank="1" containsNumber="1" minValue="2" maxValue="2000"/>
    </cacheField>
    <cacheField name="Expenses" numFmtId="0">
      <sharedItems containsString="0" containsBlank="1" containsNumber="1" minValue="4" maxValue="4666.67"/>
    </cacheField>
    <cacheField name="Balance" numFmtId="2">
      <sharedItems containsSemiMixedTypes="0" containsString="0" containsNumber="1" minValue="-0.16999999999956117" maxValue="5346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m/>
    <n v="4666.67"/>
    <n v="5333.33"/>
  </r>
  <r>
    <x v="0"/>
    <x v="1"/>
    <m/>
    <n v="403.92"/>
    <n v="4929.41"/>
  </r>
  <r>
    <x v="0"/>
    <x v="2"/>
    <m/>
    <n v="12.5"/>
    <n v="4916.91"/>
  </r>
  <r>
    <x v="0"/>
    <x v="3"/>
    <m/>
    <n v="908.02"/>
    <n v="4008.89"/>
  </r>
  <r>
    <x v="0"/>
    <x v="4"/>
    <m/>
    <n v="1250"/>
    <n v="2758.89"/>
  </r>
  <r>
    <x v="0"/>
    <x v="5"/>
    <m/>
    <n v="774"/>
    <n v="1984.8899999999999"/>
  </r>
  <r>
    <x v="1"/>
    <x v="6"/>
    <m/>
    <n v="50"/>
    <n v="1934.8899999999999"/>
  </r>
  <r>
    <x v="2"/>
    <x v="7"/>
    <m/>
    <n v="195"/>
    <n v="1739.8899999999999"/>
  </r>
  <r>
    <x v="2"/>
    <x v="8"/>
    <m/>
    <n v="66.67"/>
    <n v="1673.2199999999998"/>
  </r>
  <r>
    <x v="2"/>
    <x v="2"/>
    <m/>
    <n v="16"/>
    <n v="1657.2199999999998"/>
  </r>
  <r>
    <x v="2"/>
    <x v="9"/>
    <m/>
    <n v="7.5"/>
    <n v="1649.7199999999998"/>
  </r>
  <r>
    <x v="3"/>
    <x v="10"/>
    <m/>
    <n v="185"/>
    <n v="1464.7199999999998"/>
  </r>
  <r>
    <x v="4"/>
    <x v="8"/>
    <m/>
    <n v="66.67"/>
    <n v="1398.0499999999997"/>
  </r>
  <r>
    <x v="4"/>
    <x v="2"/>
    <m/>
    <n v="5"/>
    <n v="1393.0499999999997"/>
  </r>
  <r>
    <x v="5"/>
    <x v="2"/>
    <m/>
    <n v="13.33"/>
    <n v="1379.7199999999998"/>
  </r>
  <r>
    <x v="5"/>
    <x v="11"/>
    <m/>
    <n v="22.5"/>
    <n v="1357.2199999999998"/>
  </r>
  <r>
    <x v="5"/>
    <x v="12"/>
    <m/>
    <n v="35"/>
    <n v="1322.2199999999998"/>
  </r>
  <r>
    <x v="6"/>
    <x v="13"/>
    <m/>
    <n v="29"/>
    <n v="1293.2199999999998"/>
  </r>
  <r>
    <x v="6"/>
    <x v="14"/>
    <m/>
    <n v="15"/>
    <n v="1278.2199999999998"/>
  </r>
  <r>
    <x v="7"/>
    <x v="15"/>
    <m/>
    <n v="76.25"/>
    <n v="1201.9699999999998"/>
  </r>
  <r>
    <x v="7"/>
    <x v="16"/>
    <m/>
    <n v="14"/>
    <n v="1187.9699999999998"/>
  </r>
  <r>
    <x v="8"/>
    <x v="8"/>
    <m/>
    <n v="66.67"/>
    <n v="1121.2999999999997"/>
  </r>
  <r>
    <x v="9"/>
    <x v="2"/>
    <m/>
    <n v="2.25"/>
    <n v="1119.0499999999997"/>
  </r>
  <r>
    <x v="9"/>
    <x v="17"/>
    <m/>
    <n v="137.5"/>
    <n v="981.54999999999973"/>
  </r>
  <r>
    <x v="10"/>
    <x v="18"/>
    <m/>
    <n v="32"/>
    <n v="949.54999999999973"/>
  </r>
  <r>
    <x v="11"/>
    <x v="19"/>
    <m/>
    <n v="17.920000000000002"/>
    <n v="931.62999999999977"/>
  </r>
  <r>
    <x v="11"/>
    <x v="20"/>
    <m/>
    <n v="259"/>
    <n v="672.62999999999977"/>
  </r>
  <r>
    <x v="12"/>
    <x v="21"/>
    <m/>
    <n v="94.25"/>
    <n v="578.37999999999977"/>
  </r>
  <r>
    <x v="12"/>
    <x v="22"/>
    <m/>
    <n v="20"/>
    <n v="558.37999999999977"/>
  </r>
  <r>
    <x v="12"/>
    <x v="2"/>
    <m/>
    <n v="11.25"/>
    <n v="547.12999999999977"/>
  </r>
  <r>
    <x v="13"/>
    <x v="23"/>
    <m/>
    <n v="14.67"/>
    <n v="532.45999999999981"/>
  </r>
  <r>
    <x v="13"/>
    <x v="2"/>
    <m/>
    <n v="14.5"/>
    <n v="517.95999999999981"/>
  </r>
  <r>
    <x v="14"/>
    <x v="10"/>
    <m/>
    <n v="185"/>
    <n v="332.95999999999981"/>
  </r>
  <r>
    <x v="14"/>
    <x v="8"/>
    <m/>
    <n v="66.67"/>
    <n v="266.28999999999979"/>
  </r>
  <r>
    <x v="14"/>
    <x v="24"/>
    <m/>
    <n v="28.5"/>
    <n v="237.78999999999979"/>
  </r>
  <r>
    <x v="15"/>
    <x v="25"/>
    <m/>
    <n v="110"/>
    <n v="127.78999999999979"/>
  </r>
  <r>
    <x v="15"/>
    <x v="2"/>
    <m/>
    <n v="14.75"/>
    <n v="113.03999999999979"/>
  </r>
  <r>
    <x v="16"/>
    <x v="2"/>
    <m/>
    <n v="12"/>
    <n v="101.03999999999979"/>
  </r>
  <r>
    <x v="17"/>
    <x v="2"/>
    <m/>
    <n v="6.25"/>
    <n v="94.789999999999793"/>
  </r>
  <r>
    <x v="18"/>
    <x v="26"/>
    <m/>
    <n v="19"/>
    <n v="75.789999999999793"/>
  </r>
  <r>
    <x v="18"/>
    <x v="27"/>
    <m/>
    <n v="60"/>
    <n v="15.789999999999793"/>
  </r>
  <r>
    <x v="18"/>
    <x v="28"/>
    <n v="241.9"/>
    <n v="8"/>
    <n v="249.68999999999983"/>
  </r>
  <r>
    <x v="19"/>
    <x v="8"/>
    <m/>
    <n v="66.67"/>
    <n v="183.01999999999981"/>
  </r>
  <r>
    <x v="19"/>
    <x v="2"/>
    <m/>
    <n v="28.08"/>
    <n v="154.93999999999983"/>
  </r>
  <r>
    <x v="19"/>
    <x v="27"/>
    <m/>
    <n v="30"/>
    <n v="124.93999999999983"/>
  </r>
  <r>
    <x v="19"/>
    <x v="29"/>
    <m/>
    <n v="20"/>
    <n v="104.93999999999983"/>
  </r>
  <r>
    <x v="19"/>
    <x v="15"/>
    <n v="20"/>
    <n v="76.25"/>
    <n v="48.689999999999827"/>
  </r>
  <r>
    <x v="20"/>
    <x v="30"/>
    <m/>
    <n v="6.67"/>
    <n v="42.019999999999825"/>
  </r>
  <r>
    <x v="20"/>
    <x v="2"/>
    <m/>
    <n v="11.25"/>
    <n v="30.769999999999825"/>
  </r>
  <r>
    <x v="21"/>
    <x v="2"/>
    <m/>
    <n v="18"/>
    <n v="12.7699999999998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d v="2026-03-01T00:00:00"/>
    <x v="0"/>
    <n v="12.77"/>
    <n v="4666.67"/>
    <n v="5346.1"/>
  </r>
  <r>
    <d v="2026-03-01T00:00:00"/>
    <x v="1"/>
    <m/>
    <n v="137.5"/>
    <n v="5208.6000000000004"/>
  </r>
  <r>
    <d v="2026-03-01T00:00:00"/>
    <x v="2"/>
    <m/>
    <n v="66.67"/>
    <n v="5141.93"/>
  </r>
  <r>
    <d v="2026-03-01T00:00:00"/>
    <x v="3"/>
    <m/>
    <n v="340.66"/>
    <n v="4801.2700000000004"/>
  </r>
  <r>
    <d v="2026-03-01T00:00:00"/>
    <x v="4"/>
    <m/>
    <n v="30.5"/>
    <n v="4770.7700000000004"/>
  </r>
  <r>
    <d v="2026-03-01T00:00:00"/>
    <x v="5"/>
    <m/>
    <n v="250"/>
    <n v="4520.7700000000004"/>
  </r>
  <r>
    <d v="2026-03-01T00:00:00"/>
    <x v="6"/>
    <m/>
    <n v="1250"/>
    <n v="3270.7700000000004"/>
  </r>
  <r>
    <d v="2026-03-01T00:00:00"/>
    <x v="7"/>
    <m/>
    <n v="1682.7900000000002"/>
    <n v="1587.9800000000002"/>
  </r>
  <r>
    <d v="2026-03-02T00:00:00"/>
    <x v="8"/>
    <m/>
    <n v="331.65"/>
    <n v="1256.3300000000004"/>
  </r>
  <r>
    <d v="2026-03-02T00:00:00"/>
    <x v="9"/>
    <m/>
    <n v="55"/>
    <n v="1201.3300000000004"/>
  </r>
  <r>
    <d v="2026-03-03T00:00:00"/>
    <x v="10"/>
    <m/>
    <n v="180"/>
    <n v="1021.3300000000004"/>
  </r>
  <r>
    <d v="2026-03-04T00:00:00"/>
    <x v="11"/>
    <m/>
    <n v="23.83"/>
    <n v="997.50000000000034"/>
  </r>
  <r>
    <d v="2026-03-04T00:00:00"/>
    <x v="12"/>
    <m/>
    <n v="23.67"/>
    <n v="973.83000000000038"/>
  </r>
  <r>
    <d v="2026-03-04T00:00:00"/>
    <x v="13"/>
    <m/>
    <n v="15"/>
    <n v="958.83000000000038"/>
  </r>
  <r>
    <d v="2026-03-05T00:00:00"/>
    <x v="11"/>
    <m/>
    <n v="13.33"/>
    <n v="945.50000000000034"/>
  </r>
  <r>
    <d v="2026-03-05T00:00:00"/>
    <x v="14"/>
    <m/>
    <n v="11"/>
    <n v="934.50000000000034"/>
  </r>
  <r>
    <d v="2026-03-06T00:00:00"/>
    <x v="11"/>
    <m/>
    <n v="6.75"/>
    <n v="927.75000000000034"/>
  </r>
  <r>
    <d v="2026-03-06T00:00:00"/>
    <x v="15"/>
    <m/>
    <n v="50"/>
    <n v="877.75000000000034"/>
  </r>
  <r>
    <d v="2026-03-07T00:00:00"/>
    <x v="11"/>
    <m/>
    <n v="12.25"/>
    <n v="865.50000000000034"/>
  </r>
  <r>
    <d v="2026-03-08T00:00:00"/>
    <x v="16"/>
    <n v="2000"/>
    <n v="2056"/>
    <n v="809.50000000000045"/>
  </r>
  <r>
    <d v="2026-03-08T00:00:00"/>
    <x v="17"/>
    <m/>
    <n v="250"/>
    <n v="559.50000000000045"/>
  </r>
  <r>
    <d v="2026-03-08T00:00:00"/>
    <x v="11"/>
    <m/>
    <n v="8.5"/>
    <n v="551.00000000000045"/>
  </r>
  <r>
    <d v="2026-03-08T00:00:00"/>
    <x v="2"/>
    <m/>
    <n v="66.67"/>
    <n v="484.33000000000044"/>
  </r>
  <r>
    <d v="2026-03-08T00:00:00"/>
    <x v="18"/>
    <m/>
    <n v="37.5"/>
    <n v="446.83000000000044"/>
  </r>
  <r>
    <d v="2026-03-09T00:00:00"/>
    <x v="19"/>
    <m/>
    <n v="99.75"/>
    <n v="347.08000000000044"/>
  </r>
  <r>
    <d v="2026-03-09T00:00:00"/>
    <x v="11"/>
    <m/>
    <n v="8.25"/>
    <n v="338.83000000000044"/>
  </r>
  <r>
    <d v="2026-03-11T00:00:00"/>
    <x v="17"/>
    <m/>
    <n v="200"/>
    <n v="138.83000000000044"/>
  </r>
  <r>
    <d v="2026-03-11T00:00:00"/>
    <x v="9"/>
    <m/>
    <n v="47"/>
    <n v="91.830000000000439"/>
  </r>
  <r>
    <d v="2026-03-11T00:00:00"/>
    <x v="20"/>
    <m/>
    <n v="75.5"/>
    <n v="16.330000000000439"/>
  </r>
  <r>
    <d v="2026-03-11T00:00:00"/>
    <x v="14"/>
    <m/>
    <n v="16.5"/>
    <n v="-0.16999999999956117"/>
  </r>
  <r>
    <d v="2026-03-14T00:00:00"/>
    <x v="21"/>
    <n v="500"/>
    <m/>
    <n v="499.83000000000044"/>
  </r>
  <r>
    <d v="2026-03-14T00:00:00"/>
    <x v="22"/>
    <m/>
    <n v="30"/>
    <n v="469.83000000000044"/>
  </r>
  <r>
    <d v="2026-03-14T00:00:00"/>
    <x v="2"/>
    <m/>
    <n v="66.67"/>
    <n v="403.16000000000042"/>
  </r>
  <r>
    <d v="2026-03-14T00:00:00"/>
    <x v="23"/>
    <m/>
    <n v="250"/>
    <n v="153.16000000000042"/>
  </r>
  <r>
    <d v="2026-03-14T00:00:00"/>
    <x v="24"/>
    <m/>
    <n v="26.67"/>
    <n v="126.49000000000042"/>
  </r>
  <r>
    <d v="2026-03-14T00:00:00"/>
    <x v="11"/>
    <m/>
    <n v="5"/>
    <n v="121.49000000000042"/>
  </r>
  <r>
    <d v="2026-03-15T00:00:00"/>
    <x v="11"/>
    <n v="2"/>
    <n v="12.5"/>
    <n v="110.99000000000042"/>
  </r>
  <r>
    <d v="2026-03-16T00:00:00"/>
    <x v="25"/>
    <m/>
    <n v="20"/>
    <n v="90.990000000000421"/>
  </r>
  <r>
    <d v="2026-03-16T00:00:00"/>
    <x v="26"/>
    <m/>
    <n v="50"/>
    <n v="40.990000000000421"/>
  </r>
  <r>
    <d v="2026-03-16T00:00:00"/>
    <x v="27"/>
    <n v="300"/>
    <m/>
    <n v="340.99000000000041"/>
  </r>
  <r>
    <d v="2026-03-16T00:00:00"/>
    <x v="28"/>
    <m/>
    <n v="340.75"/>
    <n v="0.240000000000407"/>
  </r>
  <r>
    <d v="2026-03-18T00:00:00"/>
    <x v="29"/>
    <n v="1600"/>
    <m/>
    <n v="1600.2400000000005"/>
  </r>
  <r>
    <d v="2026-03-18T00:00:00"/>
    <x v="27"/>
    <n v="22.1"/>
    <n v="330"/>
    <n v="1292.3400000000004"/>
  </r>
  <r>
    <d v="2026-03-18T00:00:00"/>
    <x v="30"/>
    <m/>
    <n v="39"/>
    <n v="1253.3400000000004"/>
  </r>
  <r>
    <d v="2026-03-18T00:00:00"/>
    <x v="31"/>
    <m/>
    <n v="44"/>
    <n v="1209.3400000000004"/>
  </r>
  <r>
    <d v="2026-03-18T00:00:00"/>
    <x v="2"/>
    <m/>
    <n v="70"/>
    <n v="1139.3400000000004"/>
  </r>
  <r>
    <d v="2026-03-18T00:00:00"/>
    <x v="32"/>
    <m/>
    <n v="508"/>
    <n v="631.34000000000037"/>
  </r>
  <r>
    <d v="2026-03-18T00:00:00"/>
    <x v="11"/>
    <m/>
    <n v="12.5"/>
    <n v="618.84000000000037"/>
  </r>
  <r>
    <d v="2026-03-19T00:00:00"/>
    <x v="15"/>
    <m/>
    <n v="40"/>
    <n v="578.84000000000037"/>
  </r>
  <r>
    <d v="2026-03-19T00:00:00"/>
    <x v="33"/>
    <m/>
    <n v="300"/>
    <n v="278.84000000000037"/>
  </r>
  <r>
    <d v="2026-03-19T00:00:00"/>
    <x v="11"/>
    <m/>
    <n v="4"/>
    <n v="274.84000000000037"/>
  </r>
  <r>
    <d v="2026-03-20T00:00:00"/>
    <x v="15"/>
    <m/>
    <n v="80"/>
    <n v="194.84000000000037"/>
  </r>
  <r>
    <d v="2026-03-21T00:00:00"/>
    <x v="34"/>
    <m/>
    <n v="100"/>
    <n v="94.840000000000373"/>
  </r>
  <r>
    <d v="2026-03-21T00:00:00"/>
    <x v="7"/>
    <n v="951"/>
    <m/>
    <n v="1045.8400000000004"/>
  </r>
  <r>
    <d v="2026-03-21T00:00:00"/>
    <x v="11"/>
    <m/>
    <n v="18.579999999999998"/>
    <n v="1027.2600000000004"/>
  </r>
  <r>
    <d v="2026-03-21T00:00:00"/>
    <x v="9"/>
    <m/>
    <n v="47"/>
    <n v="980.26000000000045"/>
  </r>
  <r>
    <d v="2026-03-21T00:00:00"/>
    <x v="18"/>
    <m/>
    <n v="7.5"/>
    <n v="972.76000000000045"/>
  </r>
  <r>
    <d v="2026-03-21T00:00:00"/>
    <x v="35"/>
    <m/>
    <n v="138"/>
    <n v="834.76000000000045"/>
  </r>
  <r>
    <d v="2026-03-21T00:00:00"/>
    <x v="1"/>
    <m/>
    <n v="180"/>
    <n v="654.76000000000045"/>
  </r>
  <r>
    <d v="2026-03-21T00:00:00"/>
    <x v="36"/>
    <m/>
    <n v="45"/>
    <n v="609.76000000000045"/>
  </r>
  <r>
    <d v="2026-03-21T00:00:00"/>
    <x v="13"/>
    <m/>
    <n v="30"/>
    <n v="579.76000000000045"/>
  </r>
  <r>
    <d v="2026-03-21T00:00:00"/>
    <x v="7"/>
    <m/>
    <n v="259.45999999999998"/>
    <n v="320.30000000000047"/>
  </r>
  <r>
    <d v="2026-03-21T00:00:00"/>
    <x v="37"/>
    <m/>
    <n v="198"/>
    <n v="122.30000000000047"/>
  </r>
  <r>
    <d v="2026-03-23T00:00:00"/>
    <x v="37"/>
    <m/>
    <n v="100"/>
    <n v="22.300000000000466"/>
  </r>
  <r>
    <d v="2026-03-24T00:00:00"/>
    <x v="7"/>
    <n v="1912"/>
    <m/>
    <n v="1934.3000000000004"/>
  </r>
  <r>
    <d v="2026-03-24T00:00:00"/>
    <x v="38"/>
    <m/>
    <n v="1251.98"/>
    <n v="682.32000000000039"/>
  </r>
  <r>
    <d v="2026-03-24T00:00:00"/>
    <x v="7"/>
    <m/>
    <n v="643.18999999999994"/>
    <n v="39.13000000000045"/>
  </r>
  <r>
    <d v="2026-03-24T00:00:00"/>
    <x v="39"/>
    <m/>
    <n v="20"/>
    <n v="19.13000000000045"/>
  </r>
  <r>
    <d v="2026-03-29T00:00:00"/>
    <x v="11"/>
    <m/>
    <n v="8.5"/>
    <n v="10.630000000000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3F660-0C31-BA44-A0BB-29E3BE8C096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8:I13" firstHeaderRow="1" firstDataRow="1" firstDataCol="1"/>
  <pivotFields count="5">
    <pivotField numFmtId="164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axis="axisRow" showAll="0">
      <items count="32">
        <item h="1" x="12"/>
        <item x="21"/>
        <item h="1" x="22"/>
        <item h="1" x="4"/>
        <item x="17"/>
        <item h="1" x="26"/>
        <item h="1" x="9"/>
        <item x="10"/>
        <item h="1" x="29"/>
        <item h="1" x="24"/>
        <item h="1" x="11"/>
        <item h="1" x="7"/>
        <item h="1" x="5"/>
        <item h="1" x="16"/>
        <item h="1" x="20"/>
        <item h="1" x="3"/>
        <item h="1" x="30"/>
        <item h="1" x="19"/>
        <item h="1" x="6"/>
        <item h="1" x="25"/>
        <item h="1" x="8"/>
        <item h="1" x="23"/>
        <item h="1" x="27"/>
        <item h="1" x="28"/>
        <item h="1" x="18"/>
        <item x="1"/>
        <item h="1" x="0"/>
        <item h="1" x="15"/>
        <item h="1" x="14"/>
        <item h="1" x="2"/>
        <item h="1" x="13"/>
        <item t="default"/>
      </items>
    </pivotField>
    <pivotField showAll="0"/>
    <pivotField dataField="1" showAll="0"/>
    <pivotField numFmtId="2" showAll="0"/>
  </pivotFields>
  <rowFields count="1">
    <field x="1"/>
  </rowFields>
  <rowItems count="5">
    <i>
      <x v="1"/>
    </i>
    <i>
      <x v="4"/>
    </i>
    <i>
      <x v="7"/>
    </i>
    <i>
      <x v="25"/>
    </i>
    <i t="grand">
      <x/>
    </i>
  </rowItems>
  <colItems count="1">
    <i/>
  </colItems>
  <dataFields count="1">
    <dataField name="Sum of Expens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61998-73CE-A14D-B064-372129CABE9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0:I21" firstHeaderRow="1" firstDataRow="1" firstDataCol="1"/>
  <pivotFields count="5">
    <pivotField numFmtId="164" showAll="0"/>
    <pivotField axis="axisRow" showAll="0">
      <items count="41">
        <item h="1" x="27"/>
        <item x="19"/>
        <item x="15"/>
        <item h="1" x="24"/>
        <item h="1" x="5"/>
        <item x="9"/>
        <item h="1" x="35"/>
        <item h="1" x="3"/>
        <item h="1" x="30"/>
        <item h="1" x="6"/>
        <item x="1"/>
        <item x="4"/>
        <item h="1" x="34"/>
        <item x="10"/>
        <item h="1" x="21"/>
        <item h="1" x="29"/>
        <item h="1" x="33"/>
        <item h="1" x="37"/>
        <item h="1" x="39"/>
        <item h="1" x="23"/>
        <item h="1" x="17"/>
        <item h="1" x="31"/>
        <item h="1" x="16"/>
        <item h="1" x="22"/>
        <item x="13"/>
        <item h="1" x="28"/>
        <item h="1" x="7"/>
        <item h="1" x="25"/>
        <item x="2"/>
        <item h="1" x="12"/>
        <item h="1" x="14"/>
        <item x="8"/>
        <item h="1" x="0"/>
        <item h="1" x="18"/>
        <item x="20"/>
        <item h="1" x="38"/>
        <item h="1" x="36"/>
        <item h="1" x="32"/>
        <item h="1" x="26"/>
        <item h="1" x="11"/>
        <item t="default"/>
      </items>
    </pivotField>
    <pivotField showAll="0"/>
    <pivotField dataField="1" showAll="0"/>
    <pivotField numFmtId="2" showAll="0"/>
  </pivotFields>
  <rowFields count="1">
    <field x="1"/>
  </rowFields>
  <rowItems count="11">
    <i>
      <x v="1"/>
    </i>
    <i>
      <x v="2"/>
    </i>
    <i>
      <x v="5"/>
    </i>
    <i>
      <x v="10"/>
    </i>
    <i>
      <x v="11"/>
    </i>
    <i>
      <x v="13"/>
    </i>
    <i>
      <x v="24"/>
    </i>
    <i>
      <x v="28"/>
    </i>
    <i>
      <x v="31"/>
    </i>
    <i>
      <x v="34"/>
    </i>
    <i t="grand">
      <x/>
    </i>
  </rowItems>
  <colItems count="1">
    <i/>
  </colItems>
  <dataFields count="1">
    <dataField name="Sum of Expens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D2E17-3B85-294C-9175-0424151F2656}">
  <dimension ref="A1:H41"/>
  <sheetViews>
    <sheetView zoomScale="129" zoomScaleNormal="150" workbookViewId="0">
      <selection activeCell="D31" sqref="D31"/>
    </sheetView>
  </sheetViews>
  <sheetFormatPr baseColWidth="10" defaultRowHeight="16" x14ac:dyDescent="0.2"/>
  <cols>
    <col min="1" max="1" width="26" customWidth="1"/>
    <col min="2" max="2" width="24.5" bestFit="1" customWidth="1"/>
    <col min="3" max="3" width="9.6640625" bestFit="1" customWidth="1"/>
    <col min="4" max="4" width="11.1640625" bestFit="1" customWidth="1"/>
    <col min="5" max="5" width="10.33203125" bestFit="1" customWidth="1"/>
    <col min="7" max="7" width="26" bestFit="1" customWidth="1"/>
    <col min="8" max="8" width="15.1640625" bestFit="1" customWidth="1"/>
    <col min="9" max="9" width="14.83203125" bestFit="1" customWidth="1"/>
    <col min="10" max="10" width="14.1640625" bestFit="1" customWidth="1"/>
    <col min="11" max="12" width="3.1640625" bestFit="1" customWidth="1"/>
    <col min="13" max="13" width="6.1640625" bestFit="1" customWidth="1"/>
    <col min="14" max="14" width="5.1640625" bestFit="1" customWidth="1"/>
    <col min="15" max="15" width="3.1640625" bestFit="1" customWidth="1"/>
    <col min="16" max="16" width="6.1640625" bestFit="1" customWidth="1"/>
    <col min="17" max="17" width="3.1640625" bestFit="1" customWidth="1"/>
    <col min="18" max="18" width="6.1640625" bestFit="1" customWidth="1"/>
    <col min="19" max="19" width="4.1640625" bestFit="1" customWidth="1"/>
    <col min="20" max="23" width="7.1640625" bestFit="1" customWidth="1"/>
    <col min="24" max="26" width="4.1640625" bestFit="1" customWidth="1"/>
    <col min="27" max="27" width="7.1640625" bestFit="1" customWidth="1"/>
    <col min="28" max="28" width="4.1640625" bestFit="1" customWidth="1"/>
    <col min="29" max="29" width="6.1640625" bestFit="1" customWidth="1"/>
    <col min="30" max="30" width="8.1640625" bestFit="1" customWidth="1"/>
    <col min="31" max="31" width="10.5" bestFit="1" customWidth="1"/>
  </cols>
  <sheetData>
    <row r="1" spans="1:8" ht="34" x14ac:dyDescent="0.4">
      <c r="A1" s="58" t="s">
        <v>19</v>
      </c>
      <c r="B1" s="58"/>
      <c r="C1" s="58"/>
      <c r="D1" s="58"/>
      <c r="E1" s="58"/>
      <c r="F1" s="58"/>
      <c r="G1" s="58"/>
    </row>
    <row r="2" spans="1:8" ht="22" x14ac:dyDescent="0.3">
      <c r="A2" s="2" t="s">
        <v>0</v>
      </c>
      <c r="B2" s="5">
        <v>5000</v>
      </c>
      <c r="C2" s="59" t="s">
        <v>1</v>
      </c>
      <c r="D2" s="59"/>
      <c r="E2" s="5">
        <f>E41</f>
        <v>623.67999999999995</v>
      </c>
    </row>
    <row r="3" spans="1:8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G3" s="3" t="s">
        <v>7</v>
      </c>
      <c r="H3" s="1">
        <f>B2</f>
        <v>5000</v>
      </c>
    </row>
    <row r="4" spans="1:8" x14ac:dyDescent="0.2">
      <c r="A4" s="8">
        <v>46043</v>
      </c>
      <c r="B4" s="1" t="s">
        <v>11</v>
      </c>
      <c r="C4" s="1"/>
      <c r="D4" s="1">
        <v>600</v>
      </c>
      <c r="E4" s="1">
        <f>B2+C4-D4</f>
        <v>4400</v>
      </c>
      <c r="G4" s="4" t="s">
        <v>8</v>
      </c>
      <c r="H4" s="1">
        <f>SUM(C4:C40)</f>
        <v>0</v>
      </c>
    </row>
    <row r="5" spans="1:8" x14ac:dyDescent="0.2">
      <c r="A5" s="8">
        <v>46043</v>
      </c>
      <c r="B5" s="1" t="s">
        <v>12</v>
      </c>
      <c r="C5" s="1"/>
      <c r="D5" s="1">
        <v>150</v>
      </c>
      <c r="E5" s="1">
        <f t="shared" ref="E5:E40" si="0">E4+C5-D5</f>
        <v>4250</v>
      </c>
      <c r="G5" s="6" t="s">
        <v>9</v>
      </c>
      <c r="H5" s="1">
        <f>SUM(D4:D40)</f>
        <v>4376.32</v>
      </c>
    </row>
    <row r="6" spans="1:8" x14ac:dyDescent="0.2">
      <c r="A6" s="8">
        <v>46043</v>
      </c>
      <c r="B6" s="1" t="s">
        <v>13</v>
      </c>
      <c r="C6" s="1"/>
      <c r="D6" s="1">
        <v>80</v>
      </c>
      <c r="E6" s="1">
        <f t="shared" si="0"/>
        <v>4170</v>
      </c>
      <c r="G6" s="7" t="s">
        <v>10</v>
      </c>
      <c r="H6" s="1">
        <f>H3+H4-H5</f>
        <v>623.68000000000029</v>
      </c>
    </row>
    <row r="7" spans="1:8" x14ac:dyDescent="0.2">
      <c r="A7" s="8">
        <v>46043</v>
      </c>
      <c r="B7" s="1" t="s">
        <v>14</v>
      </c>
      <c r="C7" s="1"/>
      <c r="D7" s="1">
        <v>40</v>
      </c>
      <c r="E7" s="1">
        <f t="shared" si="0"/>
        <v>4130</v>
      </c>
    </row>
    <row r="8" spans="1:8" x14ac:dyDescent="0.2">
      <c r="A8" s="8" t="s">
        <v>18</v>
      </c>
      <c r="B8" s="1" t="s">
        <v>15</v>
      </c>
      <c r="C8" s="1"/>
      <c r="D8" s="1">
        <v>165</v>
      </c>
      <c r="E8" s="1">
        <f t="shared" si="0"/>
        <v>3965</v>
      </c>
    </row>
    <row r="9" spans="1:8" x14ac:dyDescent="0.2">
      <c r="A9" s="8" t="s">
        <v>18</v>
      </c>
      <c r="B9" s="1" t="s">
        <v>32</v>
      </c>
      <c r="C9" s="1"/>
      <c r="D9" s="1">
        <v>116.67</v>
      </c>
      <c r="E9" s="1">
        <f t="shared" si="0"/>
        <v>3848.33</v>
      </c>
    </row>
    <row r="10" spans="1:8" x14ac:dyDescent="0.2">
      <c r="A10" s="8" t="s">
        <v>18</v>
      </c>
      <c r="B10" s="1" t="s">
        <v>16</v>
      </c>
      <c r="C10" s="1"/>
      <c r="D10" s="1">
        <v>245.25</v>
      </c>
      <c r="E10" s="1">
        <f t="shared" si="0"/>
        <v>3603.08</v>
      </c>
    </row>
    <row r="11" spans="1:8" x14ac:dyDescent="0.2">
      <c r="A11" s="8" t="s">
        <v>18</v>
      </c>
      <c r="B11" s="1" t="s">
        <v>17</v>
      </c>
      <c r="C11" s="1"/>
      <c r="D11" s="1">
        <f>SUM(248.45+124.34+124.34+124.34+279.63)</f>
        <v>901.1</v>
      </c>
      <c r="E11" s="1">
        <f t="shared" si="0"/>
        <v>2701.98</v>
      </c>
    </row>
    <row r="12" spans="1:8" x14ac:dyDescent="0.2">
      <c r="A12" s="11">
        <v>46044</v>
      </c>
      <c r="B12" s="1" t="s">
        <v>27</v>
      </c>
      <c r="C12" s="1"/>
      <c r="D12" s="1">
        <v>18.329999999999998</v>
      </c>
      <c r="E12" s="1">
        <f t="shared" si="0"/>
        <v>2683.65</v>
      </c>
    </row>
    <row r="13" spans="1:8" x14ac:dyDescent="0.2">
      <c r="A13" s="11">
        <v>46044</v>
      </c>
      <c r="B13" s="1" t="s">
        <v>28</v>
      </c>
      <c r="C13" s="1"/>
      <c r="D13" s="1">
        <v>100</v>
      </c>
      <c r="E13" s="1">
        <f t="shared" si="0"/>
        <v>2583.65</v>
      </c>
    </row>
    <row r="14" spans="1:8" x14ac:dyDescent="0.2">
      <c r="A14" s="11">
        <v>46044</v>
      </c>
      <c r="B14" s="1" t="s">
        <v>29</v>
      </c>
      <c r="C14" s="1"/>
      <c r="D14" s="1">
        <v>10</v>
      </c>
      <c r="E14" s="1">
        <f t="shared" si="0"/>
        <v>2573.65</v>
      </c>
    </row>
    <row r="15" spans="1:8" x14ac:dyDescent="0.2">
      <c r="A15" s="11">
        <v>46044</v>
      </c>
      <c r="B15" s="1" t="s">
        <v>30</v>
      </c>
      <c r="C15" s="1"/>
      <c r="D15" s="1">
        <f>SUM(1.25+40+37.5+28)</f>
        <v>106.75</v>
      </c>
      <c r="E15" s="1">
        <f t="shared" si="0"/>
        <v>2466.9</v>
      </c>
    </row>
    <row r="16" spans="1:8" x14ac:dyDescent="0.2">
      <c r="A16" s="9">
        <v>46045</v>
      </c>
      <c r="B16" s="1" t="s">
        <v>13</v>
      </c>
      <c r="C16" s="1"/>
      <c r="D16" s="1">
        <v>80</v>
      </c>
      <c r="E16" s="1">
        <f t="shared" si="0"/>
        <v>2386.9</v>
      </c>
    </row>
    <row r="17" spans="1:5" x14ac:dyDescent="0.2">
      <c r="A17" s="9">
        <v>46045</v>
      </c>
      <c r="B17" s="1" t="s">
        <v>29</v>
      </c>
      <c r="C17" s="1"/>
      <c r="D17" s="1">
        <v>5</v>
      </c>
      <c r="E17" s="1">
        <f t="shared" si="0"/>
        <v>2381.9</v>
      </c>
    </row>
    <row r="18" spans="1:5" x14ac:dyDescent="0.2">
      <c r="A18" s="10">
        <v>46046</v>
      </c>
      <c r="B18" s="1" t="s">
        <v>20</v>
      </c>
      <c r="C18" s="1"/>
      <c r="D18" s="1">
        <v>101.67</v>
      </c>
      <c r="E18" s="1">
        <f t="shared" si="0"/>
        <v>2280.23</v>
      </c>
    </row>
    <row r="19" spans="1:5" x14ac:dyDescent="0.2">
      <c r="A19" s="10">
        <v>46046</v>
      </c>
      <c r="B19" s="1" t="s">
        <v>21</v>
      </c>
      <c r="C19" s="14"/>
      <c r="D19" s="1">
        <v>10</v>
      </c>
      <c r="E19" s="1">
        <f t="shared" si="0"/>
        <v>2270.23</v>
      </c>
    </row>
    <row r="20" spans="1:5" x14ac:dyDescent="0.2">
      <c r="A20" s="10">
        <v>46046</v>
      </c>
      <c r="B20" s="1" t="s">
        <v>22</v>
      </c>
      <c r="C20" s="1"/>
      <c r="D20" s="1">
        <v>40.67</v>
      </c>
      <c r="E20" s="1">
        <f t="shared" si="0"/>
        <v>2229.56</v>
      </c>
    </row>
    <row r="21" spans="1:5" x14ac:dyDescent="0.2">
      <c r="A21" s="10">
        <v>46046</v>
      </c>
      <c r="B21" s="1" t="s">
        <v>23</v>
      </c>
      <c r="C21" s="1"/>
      <c r="D21" s="1">
        <v>9</v>
      </c>
      <c r="E21" s="1">
        <f t="shared" si="0"/>
        <v>2220.56</v>
      </c>
    </row>
    <row r="22" spans="1:5" x14ac:dyDescent="0.2">
      <c r="A22" s="10">
        <v>46046</v>
      </c>
      <c r="B22" s="1" t="s">
        <v>24</v>
      </c>
      <c r="C22" s="1"/>
      <c r="D22" s="1">
        <v>8</v>
      </c>
      <c r="E22" s="1">
        <f t="shared" si="0"/>
        <v>2212.56</v>
      </c>
    </row>
    <row r="23" spans="1:5" x14ac:dyDescent="0.2">
      <c r="A23" s="10">
        <v>46046</v>
      </c>
      <c r="B23" s="1" t="s">
        <v>25</v>
      </c>
      <c r="C23" s="1"/>
      <c r="D23" s="1">
        <v>17</v>
      </c>
      <c r="E23" s="1">
        <f t="shared" si="0"/>
        <v>2195.56</v>
      </c>
    </row>
    <row r="24" spans="1:5" x14ac:dyDescent="0.2">
      <c r="A24" s="10">
        <v>46046</v>
      </c>
      <c r="B24" s="1" t="s">
        <v>26</v>
      </c>
      <c r="C24" s="1"/>
      <c r="D24" s="1">
        <v>119.67</v>
      </c>
      <c r="E24" s="1">
        <f t="shared" si="0"/>
        <v>2075.89</v>
      </c>
    </row>
    <row r="25" spans="1:5" x14ac:dyDescent="0.2">
      <c r="A25" s="12">
        <v>46047</v>
      </c>
      <c r="B25" s="1" t="s">
        <v>29</v>
      </c>
      <c r="C25" s="1"/>
      <c r="D25" s="1">
        <v>18.5</v>
      </c>
      <c r="E25" s="1">
        <f t="shared" si="0"/>
        <v>2057.39</v>
      </c>
    </row>
    <row r="26" spans="1:5" x14ac:dyDescent="0.2">
      <c r="A26" s="13">
        <v>46048</v>
      </c>
      <c r="B26" s="1" t="s">
        <v>31</v>
      </c>
      <c r="C26" s="1"/>
      <c r="D26" s="1">
        <v>100</v>
      </c>
      <c r="E26" s="1">
        <f t="shared" si="0"/>
        <v>1957.3899999999999</v>
      </c>
    </row>
    <row r="27" spans="1:5" x14ac:dyDescent="0.2">
      <c r="A27" s="11">
        <v>46049</v>
      </c>
      <c r="B27" s="1" t="s">
        <v>33</v>
      </c>
      <c r="C27" s="1"/>
      <c r="D27" s="1">
        <v>125</v>
      </c>
      <c r="E27" s="1">
        <f t="shared" si="0"/>
        <v>1832.3899999999999</v>
      </c>
    </row>
    <row r="28" spans="1:5" x14ac:dyDescent="0.2">
      <c r="A28" s="9">
        <v>46051</v>
      </c>
      <c r="B28" s="1" t="s">
        <v>17</v>
      </c>
      <c r="C28" s="1"/>
      <c r="D28" s="1">
        <f>SUM(279.43+256.61+140.27+276.46+128.35)</f>
        <v>1081.1199999999999</v>
      </c>
      <c r="E28" s="1">
        <f t="shared" si="0"/>
        <v>751.27</v>
      </c>
    </row>
    <row r="29" spans="1:5" x14ac:dyDescent="0.2">
      <c r="A29" s="9">
        <v>46051</v>
      </c>
      <c r="B29" s="1" t="s">
        <v>34</v>
      </c>
      <c r="C29" s="1"/>
      <c r="D29" s="1">
        <f>SUM(12.5+4+24+2.67+10+3.75+26.67+4)</f>
        <v>87.59</v>
      </c>
      <c r="E29" s="1">
        <f t="shared" si="0"/>
        <v>663.68</v>
      </c>
    </row>
    <row r="30" spans="1:5" x14ac:dyDescent="0.2">
      <c r="A30" s="15">
        <v>46052</v>
      </c>
      <c r="B30" s="1" t="s">
        <v>13</v>
      </c>
      <c r="C30" s="1"/>
      <c r="D30" s="1">
        <v>40</v>
      </c>
      <c r="E30" s="1">
        <f t="shared" si="0"/>
        <v>623.67999999999995</v>
      </c>
    </row>
    <row r="31" spans="1:5" x14ac:dyDescent="0.2">
      <c r="A31" s="1"/>
      <c r="B31" s="1"/>
      <c r="C31" s="1"/>
      <c r="D31" s="1"/>
      <c r="E31" s="1">
        <f t="shared" si="0"/>
        <v>623.67999999999995</v>
      </c>
    </row>
    <row r="32" spans="1:5" x14ac:dyDescent="0.2">
      <c r="A32" s="1"/>
      <c r="B32" s="1"/>
      <c r="C32" s="1"/>
      <c r="D32" s="1"/>
      <c r="E32" s="1">
        <f t="shared" si="0"/>
        <v>623.67999999999995</v>
      </c>
    </row>
    <row r="33" spans="1:5" x14ac:dyDescent="0.2">
      <c r="A33" s="1"/>
      <c r="B33" s="1"/>
      <c r="C33" s="1"/>
      <c r="D33" s="1"/>
      <c r="E33" s="1">
        <f t="shared" si="0"/>
        <v>623.67999999999995</v>
      </c>
    </row>
    <row r="34" spans="1:5" x14ac:dyDescent="0.2">
      <c r="A34" s="1"/>
      <c r="B34" s="1"/>
      <c r="C34" s="1"/>
      <c r="D34" s="1"/>
      <c r="E34" s="1">
        <f t="shared" si="0"/>
        <v>623.67999999999995</v>
      </c>
    </row>
    <row r="35" spans="1:5" x14ac:dyDescent="0.2">
      <c r="A35" s="1"/>
      <c r="B35" s="1"/>
      <c r="C35" s="1"/>
      <c r="D35" s="1"/>
      <c r="E35" s="1">
        <f t="shared" si="0"/>
        <v>623.67999999999995</v>
      </c>
    </row>
    <row r="36" spans="1:5" x14ac:dyDescent="0.2">
      <c r="A36" s="1"/>
      <c r="B36" s="1"/>
      <c r="C36" s="1"/>
      <c r="D36" s="1"/>
      <c r="E36" s="1">
        <f t="shared" si="0"/>
        <v>623.67999999999995</v>
      </c>
    </row>
    <row r="37" spans="1:5" x14ac:dyDescent="0.2">
      <c r="A37" s="1"/>
      <c r="B37" s="1"/>
      <c r="C37" s="1"/>
      <c r="D37" s="1"/>
      <c r="E37" s="1">
        <f t="shared" si="0"/>
        <v>623.67999999999995</v>
      </c>
    </row>
    <row r="38" spans="1:5" x14ac:dyDescent="0.2">
      <c r="A38" s="1"/>
      <c r="B38" s="1"/>
      <c r="C38" s="1"/>
      <c r="D38" s="1"/>
      <c r="E38" s="1">
        <f t="shared" si="0"/>
        <v>623.67999999999995</v>
      </c>
    </row>
    <row r="39" spans="1:5" x14ac:dyDescent="0.2">
      <c r="A39" s="1"/>
      <c r="B39" s="1"/>
      <c r="C39" s="1"/>
      <c r="D39" s="1"/>
      <c r="E39" s="1">
        <f t="shared" si="0"/>
        <v>623.67999999999995</v>
      </c>
    </row>
    <row r="40" spans="1:5" x14ac:dyDescent="0.2">
      <c r="A40" s="1"/>
      <c r="B40" s="1"/>
      <c r="C40" s="1"/>
      <c r="D40" s="1"/>
      <c r="E40" s="1">
        <f t="shared" si="0"/>
        <v>623.67999999999995</v>
      </c>
    </row>
    <row r="41" spans="1:5" x14ac:dyDescent="0.2">
      <c r="A41" s="1"/>
      <c r="B41" s="1"/>
      <c r="C41" s="60" t="s">
        <v>6</v>
      </c>
      <c r="D41" s="61"/>
      <c r="E41" s="1">
        <f>E40</f>
        <v>623.67999999999995</v>
      </c>
    </row>
  </sheetData>
  <autoFilter ref="A3:E41" xr:uid="{C18D2E17-3B85-294C-9175-0424151F2656}"/>
  <mergeCells count="3">
    <mergeCell ref="A1:G1"/>
    <mergeCell ref="C2:D2"/>
    <mergeCell ref="C41:D41"/>
  </mergeCells>
  <phoneticPr fontId="4" type="noConversion"/>
  <conditionalFormatting sqref="A4:E1048576">
    <cfRule type="expression" dxfId="10" priority="1">
      <formula>$D4&gt;=500</formula>
    </cfRule>
  </conditionalFormatting>
  <conditionalFormatting sqref="D4:D25">
    <cfRule type="cellIs" dxfId="9" priority="3" operator="greaterThanOrEqual">
      <formula>500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F9FF-FC2F-9741-A3AE-94E19CF28329}">
  <dimension ref="A1:I192"/>
  <sheetViews>
    <sheetView zoomScale="132" zoomScaleNormal="150" workbookViewId="0">
      <selection activeCell="I20" sqref="I20"/>
    </sheetView>
  </sheetViews>
  <sheetFormatPr baseColWidth="10" defaultRowHeight="16" x14ac:dyDescent="0.2"/>
  <cols>
    <col min="1" max="1" width="26.33203125" style="1" bestFit="1" customWidth="1"/>
    <col min="2" max="2" width="21.1640625" style="1" customWidth="1"/>
    <col min="3" max="3" width="18.6640625" style="1" customWidth="1"/>
    <col min="4" max="4" width="23.5" style="1" customWidth="1"/>
    <col min="5" max="5" width="15.6640625" style="1" customWidth="1"/>
    <col min="7" max="7" width="13" bestFit="1" customWidth="1"/>
    <col min="8" max="8" width="13.83203125" bestFit="1" customWidth="1"/>
    <col min="9" max="9" width="15" bestFit="1" customWidth="1"/>
    <col min="10" max="10" width="13.83203125" bestFit="1" customWidth="1"/>
    <col min="11" max="11" width="15.1640625" bestFit="1" customWidth="1"/>
    <col min="12" max="12" width="8" bestFit="1" customWidth="1"/>
    <col min="13" max="13" width="14.1640625" bestFit="1" customWidth="1"/>
    <col min="14" max="14" width="11" bestFit="1" customWidth="1"/>
    <col min="15" max="15" width="13.5" bestFit="1" customWidth="1"/>
    <col min="16" max="16" width="13.6640625" bestFit="1" customWidth="1"/>
    <col min="17" max="17" width="8.33203125" bestFit="1" customWidth="1"/>
    <col min="18" max="18" width="11.6640625" bestFit="1" customWidth="1"/>
    <col min="19" max="19" width="7" bestFit="1" customWidth="1"/>
    <col min="20" max="20" width="7.5" bestFit="1" customWidth="1"/>
    <col min="21" max="21" width="10.83203125" bestFit="1" customWidth="1"/>
    <col min="22" max="22" width="7.5" bestFit="1" customWidth="1"/>
    <col min="23" max="23" width="8.6640625" bestFit="1" customWidth="1"/>
    <col min="24" max="24" width="8.1640625" bestFit="1" customWidth="1"/>
    <col min="25" max="25" width="5.83203125" bestFit="1" customWidth="1"/>
    <col min="26" max="26" width="6.83203125" bestFit="1" customWidth="1"/>
    <col min="27" max="27" width="7.1640625" bestFit="1" customWidth="1"/>
    <col min="28" max="28" width="10.83203125" bestFit="1" customWidth="1"/>
    <col min="29" max="30" width="16" bestFit="1" customWidth="1"/>
  </cols>
  <sheetData>
    <row r="1" spans="1:9" x14ac:dyDescent="0.2">
      <c r="A1" s="65" t="s">
        <v>37</v>
      </c>
      <c r="B1" s="66"/>
      <c r="C1" s="66"/>
      <c r="D1" s="66"/>
      <c r="E1" s="67"/>
    </row>
    <row r="2" spans="1:9" ht="22" x14ac:dyDescent="0.3">
      <c r="A2" s="62" t="s">
        <v>36</v>
      </c>
      <c r="B2" s="63"/>
      <c r="C2" s="63"/>
      <c r="D2" s="63"/>
      <c r="E2" s="64"/>
    </row>
    <row r="3" spans="1:9" ht="22" x14ac:dyDescent="0.3">
      <c r="A3" s="21" t="s">
        <v>38</v>
      </c>
      <c r="B3" s="23">
        <v>10000</v>
      </c>
      <c r="C3" s="26" t="s">
        <v>45</v>
      </c>
      <c r="D3" s="22" t="s">
        <v>39</v>
      </c>
      <c r="E3" s="25">
        <f>E192</f>
        <v>12.769999999999825</v>
      </c>
    </row>
    <row r="4" spans="1:9" x14ac:dyDescent="0.2">
      <c r="A4" s="20" t="s">
        <v>35</v>
      </c>
      <c r="B4" s="19" t="s">
        <v>3</v>
      </c>
      <c r="C4" s="17" t="s">
        <v>4</v>
      </c>
      <c r="D4" s="18" t="s">
        <v>5</v>
      </c>
      <c r="E4" s="16" t="s">
        <v>6</v>
      </c>
    </row>
    <row r="5" spans="1:9" x14ac:dyDescent="0.2">
      <c r="A5" s="9">
        <v>46052</v>
      </c>
      <c r="B5" s="1" t="s">
        <v>40</v>
      </c>
      <c r="D5" s="1">
        <v>4666.67</v>
      </c>
      <c r="E5" s="24">
        <f>B3+C5-D5</f>
        <v>5333.33</v>
      </c>
    </row>
    <row r="6" spans="1:9" x14ac:dyDescent="0.2">
      <c r="A6" s="9">
        <v>46052</v>
      </c>
      <c r="B6" s="1" t="s">
        <v>41</v>
      </c>
      <c r="D6" s="1">
        <v>403.92</v>
      </c>
      <c r="E6" s="24">
        <f>E5+C6-D6</f>
        <v>4929.41</v>
      </c>
    </row>
    <row r="7" spans="1:9" x14ac:dyDescent="0.2">
      <c r="A7" s="9">
        <v>46052</v>
      </c>
      <c r="B7" s="1" t="s">
        <v>42</v>
      </c>
      <c r="D7" s="1">
        <v>12.5</v>
      </c>
      <c r="E7" s="24">
        <f t="shared" ref="E7:E70" si="0">E6+C7-D7</f>
        <v>4916.91</v>
      </c>
    </row>
    <row r="8" spans="1:9" x14ac:dyDescent="0.2">
      <c r="A8" s="9">
        <v>46052</v>
      </c>
      <c r="B8" s="1" t="s">
        <v>43</v>
      </c>
      <c r="D8" s="1">
        <f>SUM(263.46+271.62+248.6+124.34)</f>
        <v>908.02</v>
      </c>
      <c r="E8" s="24">
        <f t="shared" si="0"/>
        <v>4008.89</v>
      </c>
      <c r="H8" s="41" t="s">
        <v>76</v>
      </c>
      <c r="I8" t="s">
        <v>78</v>
      </c>
    </row>
    <row r="9" spans="1:9" x14ac:dyDescent="0.2">
      <c r="A9" s="9">
        <v>46052</v>
      </c>
      <c r="B9" s="1" t="s">
        <v>44</v>
      </c>
      <c r="D9" s="1">
        <v>1250</v>
      </c>
      <c r="E9" s="24">
        <f t="shared" si="0"/>
        <v>2758.89</v>
      </c>
      <c r="H9" s="42" t="s">
        <v>60</v>
      </c>
      <c r="I9">
        <v>94.25</v>
      </c>
    </row>
    <row r="10" spans="1:9" x14ac:dyDescent="0.2">
      <c r="A10" s="9">
        <v>46052</v>
      </c>
      <c r="B10" s="1" t="s">
        <v>46</v>
      </c>
      <c r="D10" s="1">
        <v>774</v>
      </c>
      <c r="E10" s="24">
        <f t="shared" si="0"/>
        <v>1984.8899999999999</v>
      </c>
      <c r="H10" s="42" t="s">
        <v>56</v>
      </c>
      <c r="I10">
        <v>137.5</v>
      </c>
    </row>
    <row r="11" spans="1:9" x14ac:dyDescent="0.2">
      <c r="A11" s="8">
        <v>46053</v>
      </c>
      <c r="B11" s="1" t="s">
        <v>47</v>
      </c>
      <c r="D11" s="1">
        <v>50</v>
      </c>
      <c r="E11" s="24">
        <f>E10+C11-D11</f>
        <v>1934.8899999999999</v>
      </c>
      <c r="G11" t="s">
        <v>62</v>
      </c>
      <c r="H11" s="42" t="s">
        <v>15</v>
      </c>
      <c r="I11">
        <v>370</v>
      </c>
    </row>
    <row r="12" spans="1:9" x14ac:dyDescent="0.2">
      <c r="A12" s="27">
        <v>46054</v>
      </c>
      <c r="B12" s="1" t="s">
        <v>48</v>
      </c>
      <c r="D12" s="1">
        <v>195</v>
      </c>
      <c r="E12" s="24">
        <f t="shared" si="0"/>
        <v>1739.8899999999999</v>
      </c>
      <c r="H12" s="42" t="s">
        <v>41</v>
      </c>
      <c r="I12">
        <v>403.92</v>
      </c>
    </row>
    <row r="13" spans="1:9" x14ac:dyDescent="0.2">
      <c r="A13" s="27">
        <v>46054</v>
      </c>
      <c r="B13" s="1" t="s">
        <v>49</v>
      </c>
      <c r="D13" s="1">
        <v>66.67</v>
      </c>
      <c r="E13" s="24">
        <f t="shared" si="0"/>
        <v>1673.2199999999998</v>
      </c>
      <c r="H13" s="42" t="s">
        <v>77</v>
      </c>
      <c r="I13">
        <v>1005.6700000000001</v>
      </c>
    </row>
    <row r="14" spans="1:9" x14ac:dyDescent="0.2">
      <c r="A14" s="27">
        <v>46054</v>
      </c>
      <c r="B14" s="1" t="s">
        <v>42</v>
      </c>
      <c r="D14" s="1">
        <v>16</v>
      </c>
      <c r="E14" s="24">
        <f t="shared" si="0"/>
        <v>1657.2199999999998</v>
      </c>
    </row>
    <row r="15" spans="1:9" x14ac:dyDescent="0.2">
      <c r="A15" s="27">
        <v>46054</v>
      </c>
      <c r="B15" s="1" t="s">
        <v>50</v>
      </c>
      <c r="D15" s="1">
        <v>7.5</v>
      </c>
      <c r="E15" s="24">
        <f t="shared" si="0"/>
        <v>1649.7199999999998</v>
      </c>
    </row>
    <row r="16" spans="1:9" x14ac:dyDescent="0.2">
      <c r="A16" s="28">
        <v>46056</v>
      </c>
      <c r="B16" s="1" t="s">
        <v>15</v>
      </c>
      <c r="D16" s="1">
        <v>185</v>
      </c>
      <c r="E16" s="24">
        <f t="shared" si="0"/>
        <v>1464.7199999999998</v>
      </c>
    </row>
    <row r="17" spans="1:5" x14ac:dyDescent="0.2">
      <c r="A17" s="29">
        <v>46057</v>
      </c>
      <c r="B17" s="1" t="s">
        <v>49</v>
      </c>
      <c r="D17" s="1">
        <v>66.67</v>
      </c>
      <c r="E17" s="24">
        <f t="shared" si="0"/>
        <v>1398.0499999999997</v>
      </c>
    </row>
    <row r="18" spans="1:5" x14ac:dyDescent="0.2">
      <c r="A18" s="29">
        <v>46057</v>
      </c>
      <c r="B18" s="1" t="s">
        <v>42</v>
      </c>
      <c r="D18" s="1">
        <v>5</v>
      </c>
      <c r="E18" s="24">
        <f t="shared" si="0"/>
        <v>1393.0499999999997</v>
      </c>
    </row>
    <row r="19" spans="1:5" x14ac:dyDescent="0.2">
      <c r="A19" s="30">
        <v>46060</v>
      </c>
      <c r="B19" s="1" t="s">
        <v>42</v>
      </c>
      <c r="D19" s="1">
        <v>13.33</v>
      </c>
      <c r="E19" s="24">
        <f t="shared" si="0"/>
        <v>1379.7199999999998</v>
      </c>
    </row>
    <row r="20" spans="1:5" x14ac:dyDescent="0.2">
      <c r="A20" s="30">
        <v>46060</v>
      </c>
      <c r="B20" s="1" t="s">
        <v>51</v>
      </c>
      <c r="D20" s="1">
        <v>22.5</v>
      </c>
      <c r="E20" s="24">
        <f t="shared" si="0"/>
        <v>1357.2199999999998</v>
      </c>
    </row>
    <row r="21" spans="1:5" x14ac:dyDescent="0.2">
      <c r="A21" s="30">
        <v>46060</v>
      </c>
      <c r="B21" s="1" t="s">
        <v>52</v>
      </c>
      <c r="D21" s="1">
        <v>35</v>
      </c>
      <c r="E21" s="24">
        <f t="shared" si="0"/>
        <v>1322.2199999999998</v>
      </c>
    </row>
    <row r="22" spans="1:5" x14ac:dyDescent="0.2">
      <c r="A22" s="31">
        <v>46061</v>
      </c>
      <c r="B22" s="1" t="s">
        <v>53</v>
      </c>
      <c r="D22" s="1">
        <f>SUM(3.75+10+7+8.25)</f>
        <v>29</v>
      </c>
      <c r="E22" s="24">
        <f t="shared" si="0"/>
        <v>1293.2199999999998</v>
      </c>
    </row>
    <row r="23" spans="1:5" x14ac:dyDescent="0.2">
      <c r="A23" s="31">
        <v>46061</v>
      </c>
      <c r="B23" s="1" t="s">
        <v>54</v>
      </c>
      <c r="D23" s="1">
        <v>15</v>
      </c>
      <c r="E23" s="24">
        <f t="shared" si="0"/>
        <v>1278.2199999999998</v>
      </c>
    </row>
    <row r="24" spans="1:5" x14ac:dyDescent="0.2">
      <c r="A24" s="12">
        <v>46062</v>
      </c>
      <c r="B24" s="1" t="s">
        <v>70</v>
      </c>
      <c r="D24" s="1">
        <v>76.25</v>
      </c>
      <c r="E24" s="24">
        <f t="shared" si="0"/>
        <v>1201.9699999999998</v>
      </c>
    </row>
    <row r="25" spans="1:5" x14ac:dyDescent="0.2">
      <c r="A25" s="12">
        <v>46062</v>
      </c>
      <c r="B25" s="1" t="s">
        <v>55</v>
      </c>
      <c r="D25" s="1">
        <v>14</v>
      </c>
      <c r="E25" s="24">
        <f t="shared" si="0"/>
        <v>1187.9699999999998</v>
      </c>
    </row>
    <row r="26" spans="1:5" x14ac:dyDescent="0.2">
      <c r="A26" s="32">
        <v>46063</v>
      </c>
      <c r="B26" s="1" t="s">
        <v>49</v>
      </c>
      <c r="D26" s="1">
        <v>66.67</v>
      </c>
      <c r="E26" s="24">
        <f t="shared" si="0"/>
        <v>1121.2999999999997</v>
      </c>
    </row>
    <row r="27" spans="1:5" x14ac:dyDescent="0.2">
      <c r="A27" s="11">
        <v>46064</v>
      </c>
      <c r="B27" s="1" t="s">
        <v>42</v>
      </c>
      <c r="D27" s="1">
        <v>2.25</v>
      </c>
      <c r="E27" s="24">
        <f t="shared" si="0"/>
        <v>1119.0499999999997</v>
      </c>
    </row>
    <row r="28" spans="1:5" x14ac:dyDescent="0.2">
      <c r="A28" s="11">
        <v>46064</v>
      </c>
      <c r="B28" s="1" t="s">
        <v>56</v>
      </c>
      <c r="D28" s="1">
        <v>137.5</v>
      </c>
      <c r="E28" s="24">
        <f t="shared" si="0"/>
        <v>981.54999999999973</v>
      </c>
    </row>
    <row r="29" spans="1:5" x14ac:dyDescent="0.2">
      <c r="A29" s="9">
        <v>46066</v>
      </c>
      <c r="B29" s="1" t="s">
        <v>57</v>
      </c>
      <c r="D29" s="1">
        <v>32</v>
      </c>
      <c r="E29" s="24">
        <f t="shared" si="0"/>
        <v>949.54999999999973</v>
      </c>
    </row>
    <row r="30" spans="1:5" x14ac:dyDescent="0.2">
      <c r="A30" s="12">
        <v>46067</v>
      </c>
      <c r="B30" s="1" t="s">
        <v>58</v>
      </c>
      <c r="D30" s="1">
        <f>SUM(6.25+11.67)</f>
        <v>17.920000000000002</v>
      </c>
      <c r="E30" s="24">
        <f t="shared" si="0"/>
        <v>931.62999999999977</v>
      </c>
    </row>
    <row r="31" spans="1:5" x14ac:dyDescent="0.2">
      <c r="A31" s="12">
        <v>46067</v>
      </c>
      <c r="B31" s="1" t="s">
        <v>59</v>
      </c>
      <c r="D31" s="1">
        <v>259</v>
      </c>
      <c r="E31" s="24">
        <f t="shared" si="0"/>
        <v>672.62999999999977</v>
      </c>
    </row>
    <row r="32" spans="1:5" x14ac:dyDescent="0.2">
      <c r="A32" s="30">
        <v>46068</v>
      </c>
      <c r="B32" s="1" t="s">
        <v>60</v>
      </c>
      <c r="D32" s="1">
        <v>94.25</v>
      </c>
      <c r="E32" s="24">
        <f t="shared" si="0"/>
        <v>578.37999999999977</v>
      </c>
    </row>
    <row r="33" spans="1:5" x14ac:dyDescent="0.2">
      <c r="A33" s="30">
        <v>46068</v>
      </c>
      <c r="B33" s="1" t="s">
        <v>61</v>
      </c>
      <c r="D33" s="1">
        <v>20</v>
      </c>
      <c r="E33" s="24">
        <f t="shared" si="0"/>
        <v>558.37999999999977</v>
      </c>
    </row>
    <row r="34" spans="1:5" x14ac:dyDescent="0.2">
      <c r="A34" s="30">
        <v>46068</v>
      </c>
      <c r="B34" s="1" t="s">
        <v>42</v>
      </c>
      <c r="D34" s="1">
        <v>11.25</v>
      </c>
      <c r="E34" s="24">
        <f t="shared" si="0"/>
        <v>547.12999999999977</v>
      </c>
    </row>
    <row r="35" spans="1:5" x14ac:dyDescent="0.2">
      <c r="A35" s="33">
        <v>46069</v>
      </c>
      <c r="B35" s="1" t="s">
        <v>63</v>
      </c>
      <c r="D35" s="1">
        <v>14.67</v>
      </c>
      <c r="E35" s="24">
        <f t="shared" si="0"/>
        <v>532.45999999999981</v>
      </c>
    </row>
    <row r="36" spans="1:5" x14ac:dyDescent="0.2">
      <c r="A36" s="33">
        <v>46069</v>
      </c>
      <c r="B36" s="1" t="s">
        <v>42</v>
      </c>
      <c r="D36" s="1">
        <f>SUM(10+4.5)</f>
        <v>14.5</v>
      </c>
      <c r="E36" s="24">
        <f t="shared" si="0"/>
        <v>517.95999999999981</v>
      </c>
    </row>
    <row r="37" spans="1:5" x14ac:dyDescent="0.2">
      <c r="A37" s="34">
        <v>46070</v>
      </c>
      <c r="B37" s="1" t="s">
        <v>15</v>
      </c>
      <c r="D37" s="1">
        <v>185</v>
      </c>
      <c r="E37" s="24">
        <f t="shared" si="0"/>
        <v>332.95999999999981</v>
      </c>
    </row>
    <row r="38" spans="1:5" x14ac:dyDescent="0.2">
      <c r="A38" s="34">
        <v>46070</v>
      </c>
      <c r="B38" s="1" t="s">
        <v>49</v>
      </c>
      <c r="D38" s="1">
        <v>66.67</v>
      </c>
      <c r="E38" s="24">
        <f t="shared" si="0"/>
        <v>266.28999999999979</v>
      </c>
    </row>
    <row r="39" spans="1:5" x14ac:dyDescent="0.2">
      <c r="A39" s="34">
        <v>46070</v>
      </c>
      <c r="B39" s="1" t="s">
        <v>64</v>
      </c>
      <c r="D39" s="1">
        <v>28.5</v>
      </c>
      <c r="E39" s="24">
        <f t="shared" si="0"/>
        <v>237.78999999999979</v>
      </c>
    </row>
    <row r="40" spans="1:5" x14ac:dyDescent="0.2">
      <c r="A40" s="28">
        <v>46072</v>
      </c>
      <c r="B40" s="1" t="s">
        <v>65</v>
      </c>
      <c r="D40" s="1">
        <v>110</v>
      </c>
      <c r="E40" s="24">
        <f t="shared" si="0"/>
        <v>127.78999999999979</v>
      </c>
    </row>
    <row r="41" spans="1:5" x14ac:dyDescent="0.2">
      <c r="A41" s="28">
        <v>46072</v>
      </c>
      <c r="B41" s="1" t="s">
        <v>42</v>
      </c>
      <c r="D41" s="1">
        <f>SUM(7+7.75)</f>
        <v>14.75</v>
      </c>
      <c r="E41" s="24">
        <f t="shared" si="0"/>
        <v>113.03999999999979</v>
      </c>
    </row>
    <row r="42" spans="1:5" x14ac:dyDescent="0.2">
      <c r="A42" s="9">
        <v>46074</v>
      </c>
      <c r="B42" s="1" t="s">
        <v>42</v>
      </c>
      <c r="D42" s="1">
        <v>12</v>
      </c>
      <c r="E42" s="24">
        <f t="shared" si="0"/>
        <v>101.03999999999979</v>
      </c>
    </row>
    <row r="43" spans="1:5" x14ac:dyDescent="0.2">
      <c r="A43" s="31">
        <v>46075</v>
      </c>
      <c r="B43" s="1" t="s">
        <v>42</v>
      </c>
      <c r="D43" s="1">
        <v>6.25</v>
      </c>
      <c r="E43" s="24">
        <f t="shared" si="0"/>
        <v>94.789999999999793</v>
      </c>
    </row>
    <row r="44" spans="1:5" x14ac:dyDescent="0.2">
      <c r="A44" s="35">
        <v>46076</v>
      </c>
      <c r="B44" s="1" t="s">
        <v>66</v>
      </c>
      <c r="D44" s="1">
        <v>19</v>
      </c>
      <c r="E44" s="24">
        <f t="shared" si="0"/>
        <v>75.789999999999793</v>
      </c>
    </row>
    <row r="45" spans="1:5" x14ac:dyDescent="0.2">
      <c r="A45" s="35">
        <v>46076</v>
      </c>
      <c r="B45" s="1" t="s">
        <v>67</v>
      </c>
      <c r="D45" s="1">
        <v>60</v>
      </c>
      <c r="E45" s="24">
        <f t="shared" si="0"/>
        <v>15.789999999999793</v>
      </c>
    </row>
    <row r="46" spans="1:5" x14ac:dyDescent="0.2">
      <c r="A46" s="35">
        <v>46076</v>
      </c>
      <c r="B46" s="1" t="s">
        <v>68</v>
      </c>
      <c r="C46" s="1">
        <v>241.9</v>
      </c>
      <c r="D46" s="1">
        <v>8</v>
      </c>
      <c r="E46" s="24">
        <f t="shared" si="0"/>
        <v>249.68999999999983</v>
      </c>
    </row>
    <row r="47" spans="1:5" x14ac:dyDescent="0.2">
      <c r="A47" s="32">
        <v>46077</v>
      </c>
      <c r="B47" s="1" t="s">
        <v>49</v>
      </c>
      <c r="D47" s="1">
        <v>66.67</v>
      </c>
      <c r="E47" s="24">
        <f t="shared" si="0"/>
        <v>183.01999999999981</v>
      </c>
    </row>
    <row r="48" spans="1:5" x14ac:dyDescent="0.2">
      <c r="A48" s="32">
        <v>46077</v>
      </c>
      <c r="B48" s="1" t="s">
        <v>42</v>
      </c>
      <c r="D48" s="1">
        <f>SUM(13.33+14.75)</f>
        <v>28.08</v>
      </c>
      <c r="E48" s="24">
        <f t="shared" si="0"/>
        <v>154.93999999999983</v>
      </c>
    </row>
    <row r="49" spans="1:5" x14ac:dyDescent="0.2">
      <c r="A49" s="32">
        <v>46077</v>
      </c>
      <c r="B49" s="1" t="s">
        <v>67</v>
      </c>
      <c r="D49" s="1">
        <v>30</v>
      </c>
      <c r="E49" s="24">
        <f t="shared" si="0"/>
        <v>124.93999999999983</v>
      </c>
    </row>
    <row r="50" spans="1:5" x14ac:dyDescent="0.2">
      <c r="A50" s="32">
        <v>46077</v>
      </c>
      <c r="B50" s="1" t="s">
        <v>69</v>
      </c>
      <c r="D50" s="1">
        <v>20</v>
      </c>
      <c r="E50" s="24">
        <f t="shared" si="0"/>
        <v>104.93999999999983</v>
      </c>
    </row>
    <row r="51" spans="1:5" x14ac:dyDescent="0.2">
      <c r="A51" s="32">
        <v>46077</v>
      </c>
      <c r="B51" s="1" t="s">
        <v>70</v>
      </c>
      <c r="C51" s="1">
        <v>20</v>
      </c>
      <c r="D51" s="1">
        <v>76.25</v>
      </c>
      <c r="E51" s="24">
        <f t="shared" si="0"/>
        <v>48.689999999999827</v>
      </c>
    </row>
    <row r="52" spans="1:5" x14ac:dyDescent="0.2">
      <c r="A52" s="12">
        <v>46079</v>
      </c>
      <c r="B52" s="1" t="s">
        <v>71</v>
      </c>
      <c r="D52" s="1">
        <v>6.67</v>
      </c>
      <c r="E52" s="24">
        <f t="shared" si="0"/>
        <v>42.019999999999825</v>
      </c>
    </row>
    <row r="53" spans="1:5" x14ac:dyDescent="0.2">
      <c r="A53" s="12">
        <v>46079</v>
      </c>
      <c r="B53" s="1" t="s">
        <v>42</v>
      </c>
      <c r="D53" s="1">
        <v>11.25</v>
      </c>
      <c r="E53" s="24">
        <f t="shared" si="0"/>
        <v>30.769999999999825</v>
      </c>
    </row>
    <row r="54" spans="1:5" x14ac:dyDescent="0.2">
      <c r="A54" s="33">
        <v>46081</v>
      </c>
      <c r="B54" s="1" t="s">
        <v>42</v>
      </c>
      <c r="D54" s="1">
        <v>18</v>
      </c>
      <c r="E54" s="24">
        <f t="shared" si="0"/>
        <v>12.769999999999825</v>
      </c>
    </row>
    <row r="55" spans="1:5" x14ac:dyDescent="0.2">
      <c r="E55" s="24">
        <f t="shared" si="0"/>
        <v>12.769999999999825</v>
      </c>
    </row>
    <row r="56" spans="1:5" x14ac:dyDescent="0.2">
      <c r="E56" s="24">
        <f t="shared" si="0"/>
        <v>12.769999999999825</v>
      </c>
    </row>
    <row r="57" spans="1:5" x14ac:dyDescent="0.2">
      <c r="E57" s="24">
        <f t="shared" si="0"/>
        <v>12.769999999999825</v>
      </c>
    </row>
    <row r="58" spans="1:5" x14ac:dyDescent="0.2">
      <c r="E58" s="24">
        <f t="shared" si="0"/>
        <v>12.769999999999825</v>
      </c>
    </row>
    <row r="59" spans="1:5" x14ac:dyDescent="0.2">
      <c r="E59" s="24">
        <f t="shared" si="0"/>
        <v>12.769999999999825</v>
      </c>
    </row>
    <row r="60" spans="1:5" x14ac:dyDescent="0.2">
      <c r="E60" s="24">
        <f t="shared" si="0"/>
        <v>12.769999999999825</v>
      </c>
    </row>
    <row r="61" spans="1:5" x14ac:dyDescent="0.2">
      <c r="E61" s="24">
        <f t="shared" si="0"/>
        <v>12.769999999999825</v>
      </c>
    </row>
    <row r="62" spans="1:5" x14ac:dyDescent="0.2">
      <c r="E62" s="24">
        <f t="shared" si="0"/>
        <v>12.769999999999825</v>
      </c>
    </row>
    <row r="63" spans="1:5" x14ac:dyDescent="0.2">
      <c r="E63" s="24">
        <f t="shared" si="0"/>
        <v>12.769999999999825</v>
      </c>
    </row>
    <row r="64" spans="1:5" x14ac:dyDescent="0.2">
      <c r="E64" s="24">
        <f t="shared" si="0"/>
        <v>12.769999999999825</v>
      </c>
    </row>
    <row r="65" spans="5:5" x14ac:dyDescent="0.2">
      <c r="E65" s="24">
        <f t="shared" si="0"/>
        <v>12.769999999999825</v>
      </c>
    </row>
    <row r="66" spans="5:5" x14ac:dyDescent="0.2">
      <c r="E66" s="24">
        <f t="shared" si="0"/>
        <v>12.769999999999825</v>
      </c>
    </row>
    <row r="67" spans="5:5" x14ac:dyDescent="0.2">
      <c r="E67" s="24">
        <f t="shared" si="0"/>
        <v>12.769999999999825</v>
      </c>
    </row>
    <row r="68" spans="5:5" x14ac:dyDescent="0.2">
      <c r="E68" s="24">
        <f t="shared" si="0"/>
        <v>12.769999999999825</v>
      </c>
    </row>
    <row r="69" spans="5:5" x14ac:dyDescent="0.2">
      <c r="E69" s="24">
        <f t="shared" si="0"/>
        <v>12.769999999999825</v>
      </c>
    </row>
    <row r="70" spans="5:5" x14ac:dyDescent="0.2">
      <c r="E70" s="24">
        <f t="shared" si="0"/>
        <v>12.769999999999825</v>
      </c>
    </row>
    <row r="71" spans="5:5" x14ac:dyDescent="0.2">
      <c r="E71" s="24">
        <f t="shared" ref="E71:E134" si="1">E70+C71-D71</f>
        <v>12.769999999999825</v>
      </c>
    </row>
    <row r="72" spans="5:5" x14ac:dyDescent="0.2">
      <c r="E72" s="24">
        <f t="shared" si="1"/>
        <v>12.769999999999825</v>
      </c>
    </row>
    <row r="73" spans="5:5" x14ac:dyDescent="0.2">
      <c r="E73" s="24">
        <f t="shared" si="1"/>
        <v>12.769999999999825</v>
      </c>
    </row>
    <row r="74" spans="5:5" x14ac:dyDescent="0.2">
      <c r="E74" s="24">
        <f t="shared" si="1"/>
        <v>12.769999999999825</v>
      </c>
    </row>
    <row r="75" spans="5:5" x14ac:dyDescent="0.2">
      <c r="E75" s="24">
        <f t="shared" si="1"/>
        <v>12.769999999999825</v>
      </c>
    </row>
    <row r="76" spans="5:5" x14ac:dyDescent="0.2">
      <c r="E76" s="24">
        <f t="shared" si="1"/>
        <v>12.769999999999825</v>
      </c>
    </row>
    <row r="77" spans="5:5" x14ac:dyDescent="0.2">
      <c r="E77" s="24">
        <f t="shared" si="1"/>
        <v>12.769999999999825</v>
      </c>
    </row>
    <row r="78" spans="5:5" x14ac:dyDescent="0.2">
      <c r="E78" s="24">
        <f t="shared" si="1"/>
        <v>12.769999999999825</v>
      </c>
    </row>
    <row r="79" spans="5:5" x14ac:dyDescent="0.2">
      <c r="E79" s="24">
        <f t="shared" si="1"/>
        <v>12.769999999999825</v>
      </c>
    </row>
    <row r="80" spans="5:5" x14ac:dyDescent="0.2">
      <c r="E80" s="24">
        <f t="shared" si="1"/>
        <v>12.769999999999825</v>
      </c>
    </row>
    <row r="81" spans="5:5" x14ac:dyDescent="0.2">
      <c r="E81" s="24">
        <f t="shared" si="1"/>
        <v>12.769999999999825</v>
      </c>
    </row>
    <row r="82" spans="5:5" x14ac:dyDescent="0.2">
      <c r="E82" s="24">
        <f t="shared" si="1"/>
        <v>12.769999999999825</v>
      </c>
    </row>
    <row r="83" spans="5:5" x14ac:dyDescent="0.2">
      <c r="E83" s="24">
        <f t="shared" si="1"/>
        <v>12.769999999999825</v>
      </c>
    </row>
    <row r="84" spans="5:5" x14ac:dyDescent="0.2">
      <c r="E84" s="24">
        <f t="shared" si="1"/>
        <v>12.769999999999825</v>
      </c>
    </row>
    <row r="85" spans="5:5" x14ac:dyDescent="0.2">
      <c r="E85" s="24">
        <f t="shared" si="1"/>
        <v>12.769999999999825</v>
      </c>
    </row>
    <row r="86" spans="5:5" x14ac:dyDescent="0.2">
      <c r="E86" s="24">
        <f t="shared" si="1"/>
        <v>12.769999999999825</v>
      </c>
    </row>
    <row r="87" spans="5:5" x14ac:dyDescent="0.2">
      <c r="E87" s="24">
        <f t="shared" si="1"/>
        <v>12.769999999999825</v>
      </c>
    </row>
    <row r="88" spans="5:5" x14ac:dyDescent="0.2">
      <c r="E88" s="24">
        <f t="shared" si="1"/>
        <v>12.769999999999825</v>
      </c>
    </row>
    <row r="89" spans="5:5" x14ac:dyDescent="0.2">
      <c r="E89" s="24">
        <f t="shared" si="1"/>
        <v>12.769999999999825</v>
      </c>
    </row>
    <row r="90" spans="5:5" x14ac:dyDescent="0.2">
      <c r="E90" s="24">
        <f t="shared" si="1"/>
        <v>12.769999999999825</v>
      </c>
    </row>
    <row r="91" spans="5:5" x14ac:dyDescent="0.2">
      <c r="E91" s="24">
        <f t="shared" si="1"/>
        <v>12.769999999999825</v>
      </c>
    </row>
    <row r="92" spans="5:5" x14ac:dyDescent="0.2">
      <c r="E92" s="24">
        <f t="shared" si="1"/>
        <v>12.769999999999825</v>
      </c>
    </row>
    <row r="93" spans="5:5" x14ac:dyDescent="0.2">
      <c r="E93" s="24">
        <f t="shared" si="1"/>
        <v>12.769999999999825</v>
      </c>
    </row>
    <row r="94" spans="5:5" x14ac:dyDescent="0.2">
      <c r="E94" s="24">
        <f t="shared" si="1"/>
        <v>12.769999999999825</v>
      </c>
    </row>
    <row r="95" spans="5:5" x14ac:dyDescent="0.2">
      <c r="E95" s="24">
        <f t="shared" si="1"/>
        <v>12.769999999999825</v>
      </c>
    </row>
    <row r="96" spans="5:5" x14ac:dyDescent="0.2">
      <c r="E96" s="24">
        <f t="shared" si="1"/>
        <v>12.769999999999825</v>
      </c>
    </row>
    <row r="97" spans="5:5" x14ac:dyDescent="0.2">
      <c r="E97" s="24">
        <f t="shared" si="1"/>
        <v>12.769999999999825</v>
      </c>
    </row>
    <row r="98" spans="5:5" x14ac:dyDescent="0.2">
      <c r="E98" s="24">
        <f t="shared" si="1"/>
        <v>12.769999999999825</v>
      </c>
    </row>
    <row r="99" spans="5:5" x14ac:dyDescent="0.2">
      <c r="E99" s="24">
        <f t="shared" si="1"/>
        <v>12.769999999999825</v>
      </c>
    </row>
    <row r="100" spans="5:5" x14ac:dyDescent="0.2">
      <c r="E100" s="24">
        <f t="shared" si="1"/>
        <v>12.769999999999825</v>
      </c>
    </row>
    <row r="101" spans="5:5" x14ac:dyDescent="0.2">
      <c r="E101" s="24">
        <f t="shared" si="1"/>
        <v>12.769999999999825</v>
      </c>
    </row>
    <row r="102" spans="5:5" x14ac:dyDescent="0.2">
      <c r="E102" s="24">
        <f t="shared" si="1"/>
        <v>12.769999999999825</v>
      </c>
    </row>
    <row r="103" spans="5:5" x14ac:dyDescent="0.2">
      <c r="E103" s="24">
        <f t="shared" si="1"/>
        <v>12.769999999999825</v>
      </c>
    </row>
    <row r="104" spans="5:5" x14ac:dyDescent="0.2">
      <c r="E104" s="24">
        <f t="shared" si="1"/>
        <v>12.769999999999825</v>
      </c>
    </row>
    <row r="105" spans="5:5" x14ac:dyDescent="0.2">
      <c r="E105" s="24">
        <f t="shared" si="1"/>
        <v>12.769999999999825</v>
      </c>
    </row>
    <row r="106" spans="5:5" x14ac:dyDescent="0.2">
      <c r="E106" s="24">
        <f t="shared" si="1"/>
        <v>12.769999999999825</v>
      </c>
    </row>
    <row r="107" spans="5:5" x14ac:dyDescent="0.2">
      <c r="E107" s="24">
        <f t="shared" si="1"/>
        <v>12.769999999999825</v>
      </c>
    </row>
    <row r="108" spans="5:5" x14ac:dyDescent="0.2">
      <c r="E108" s="24">
        <f t="shared" si="1"/>
        <v>12.769999999999825</v>
      </c>
    </row>
    <row r="109" spans="5:5" x14ac:dyDescent="0.2">
      <c r="E109" s="24">
        <f t="shared" si="1"/>
        <v>12.769999999999825</v>
      </c>
    </row>
    <row r="110" spans="5:5" x14ac:dyDescent="0.2">
      <c r="E110" s="24">
        <f t="shared" si="1"/>
        <v>12.769999999999825</v>
      </c>
    </row>
    <row r="111" spans="5:5" x14ac:dyDescent="0.2">
      <c r="E111" s="24">
        <f t="shared" si="1"/>
        <v>12.769999999999825</v>
      </c>
    </row>
    <row r="112" spans="5:5" x14ac:dyDescent="0.2">
      <c r="E112" s="24">
        <f t="shared" si="1"/>
        <v>12.769999999999825</v>
      </c>
    </row>
    <row r="113" spans="5:5" x14ac:dyDescent="0.2">
      <c r="E113" s="24">
        <f t="shared" si="1"/>
        <v>12.769999999999825</v>
      </c>
    </row>
    <row r="114" spans="5:5" x14ac:dyDescent="0.2">
      <c r="E114" s="24">
        <f t="shared" si="1"/>
        <v>12.769999999999825</v>
      </c>
    </row>
    <row r="115" spans="5:5" x14ac:dyDescent="0.2">
      <c r="E115" s="24">
        <f t="shared" si="1"/>
        <v>12.769999999999825</v>
      </c>
    </row>
    <row r="116" spans="5:5" x14ac:dyDescent="0.2">
      <c r="E116" s="24">
        <f t="shared" si="1"/>
        <v>12.769999999999825</v>
      </c>
    </row>
    <row r="117" spans="5:5" x14ac:dyDescent="0.2">
      <c r="E117" s="24">
        <f t="shared" si="1"/>
        <v>12.769999999999825</v>
      </c>
    </row>
    <row r="118" spans="5:5" x14ac:dyDescent="0.2">
      <c r="E118" s="24">
        <f t="shared" si="1"/>
        <v>12.769999999999825</v>
      </c>
    </row>
    <row r="119" spans="5:5" x14ac:dyDescent="0.2">
      <c r="E119" s="24">
        <f t="shared" si="1"/>
        <v>12.769999999999825</v>
      </c>
    </row>
    <row r="120" spans="5:5" x14ac:dyDescent="0.2">
      <c r="E120" s="24">
        <f t="shared" si="1"/>
        <v>12.769999999999825</v>
      </c>
    </row>
    <row r="121" spans="5:5" x14ac:dyDescent="0.2">
      <c r="E121" s="24">
        <f t="shared" si="1"/>
        <v>12.769999999999825</v>
      </c>
    </row>
    <row r="122" spans="5:5" x14ac:dyDescent="0.2">
      <c r="E122" s="24">
        <f t="shared" si="1"/>
        <v>12.769999999999825</v>
      </c>
    </row>
    <row r="123" spans="5:5" x14ac:dyDescent="0.2">
      <c r="E123" s="24">
        <f t="shared" si="1"/>
        <v>12.769999999999825</v>
      </c>
    </row>
    <row r="124" spans="5:5" x14ac:dyDescent="0.2">
      <c r="E124" s="24">
        <f t="shared" si="1"/>
        <v>12.769999999999825</v>
      </c>
    </row>
    <row r="125" spans="5:5" x14ac:dyDescent="0.2">
      <c r="E125" s="24">
        <f t="shared" si="1"/>
        <v>12.769999999999825</v>
      </c>
    </row>
    <row r="126" spans="5:5" x14ac:dyDescent="0.2">
      <c r="E126" s="24">
        <f t="shared" si="1"/>
        <v>12.769999999999825</v>
      </c>
    </row>
    <row r="127" spans="5:5" x14ac:dyDescent="0.2">
      <c r="E127" s="24">
        <f t="shared" si="1"/>
        <v>12.769999999999825</v>
      </c>
    </row>
    <row r="128" spans="5:5" x14ac:dyDescent="0.2">
      <c r="E128" s="24">
        <f t="shared" si="1"/>
        <v>12.769999999999825</v>
      </c>
    </row>
    <row r="129" spans="5:5" x14ac:dyDescent="0.2">
      <c r="E129" s="24">
        <f t="shared" si="1"/>
        <v>12.769999999999825</v>
      </c>
    </row>
    <row r="130" spans="5:5" x14ac:dyDescent="0.2">
      <c r="E130" s="24">
        <f t="shared" si="1"/>
        <v>12.769999999999825</v>
      </c>
    </row>
    <row r="131" spans="5:5" x14ac:dyDescent="0.2">
      <c r="E131" s="24">
        <f t="shared" si="1"/>
        <v>12.769999999999825</v>
      </c>
    </row>
    <row r="132" spans="5:5" x14ac:dyDescent="0.2">
      <c r="E132" s="24">
        <f t="shared" si="1"/>
        <v>12.769999999999825</v>
      </c>
    </row>
    <row r="133" spans="5:5" x14ac:dyDescent="0.2">
      <c r="E133" s="24">
        <f t="shared" si="1"/>
        <v>12.769999999999825</v>
      </c>
    </row>
    <row r="134" spans="5:5" x14ac:dyDescent="0.2">
      <c r="E134" s="24">
        <f t="shared" si="1"/>
        <v>12.769999999999825</v>
      </c>
    </row>
    <row r="135" spans="5:5" x14ac:dyDescent="0.2">
      <c r="E135" s="24">
        <f t="shared" ref="E135:E142" si="2">E134+C135-D135</f>
        <v>12.769999999999825</v>
      </c>
    </row>
    <row r="136" spans="5:5" x14ac:dyDescent="0.2">
      <c r="E136" s="24">
        <f t="shared" si="2"/>
        <v>12.769999999999825</v>
      </c>
    </row>
    <row r="137" spans="5:5" x14ac:dyDescent="0.2">
      <c r="E137" s="24">
        <f t="shared" si="2"/>
        <v>12.769999999999825</v>
      </c>
    </row>
    <row r="138" spans="5:5" x14ac:dyDescent="0.2">
      <c r="E138" s="24">
        <f t="shared" si="2"/>
        <v>12.769999999999825</v>
      </c>
    </row>
    <row r="139" spans="5:5" x14ac:dyDescent="0.2">
      <c r="E139" s="24">
        <f t="shared" si="2"/>
        <v>12.769999999999825</v>
      </c>
    </row>
    <row r="140" spans="5:5" x14ac:dyDescent="0.2">
      <c r="E140" s="24">
        <f t="shared" si="2"/>
        <v>12.769999999999825</v>
      </c>
    </row>
    <row r="141" spans="5:5" x14ac:dyDescent="0.2">
      <c r="E141" s="24">
        <f t="shared" si="2"/>
        <v>12.769999999999825</v>
      </c>
    </row>
    <row r="142" spans="5:5" x14ac:dyDescent="0.2">
      <c r="E142" s="24">
        <f t="shared" si="2"/>
        <v>12.769999999999825</v>
      </c>
    </row>
    <row r="143" spans="5:5" x14ac:dyDescent="0.2">
      <c r="E143" s="24">
        <f t="shared" ref="E143:E192" si="3">E142+C143-D143</f>
        <v>12.769999999999825</v>
      </c>
    </row>
    <row r="144" spans="5:5" x14ac:dyDescent="0.2">
      <c r="E144" s="24">
        <f t="shared" si="3"/>
        <v>12.769999999999825</v>
      </c>
    </row>
    <row r="145" spans="5:5" x14ac:dyDescent="0.2">
      <c r="E145" s="24">
        <f t="shared" si="3"/>
        <v>12.769999999999825</v>
      </c>
    </row>
    <row r="146" spans="5:5" x14ac:dyDescent="0.2">
      <c r="E146" s="24">
        <f t="shared" si="3"/>
        <v>12.769999999999825</v>
      </c>
    </row>
    <row r="147" spans="5:5" x14ac:dyDescent="0.2">
      <c r="E147" s="24">
        <f t="shared" si="3"/>
        <v>12.769999999999825</v>
      </c>
    </row>
    <row r="148" spans="5:5" x14ac:dyDescent="0.2">
      <c r="E148" s="24">
        <f t="shared" si="3"/>
        <v>12.769999999999825</v>
      </c>
    </row>
    <row r="149" spans="5:5" x14ac:dyDescent="0.2">
      <c r="E149" s="24">
        <f t="shared" si="3"/>
        <v>12.769999999999825</v>
      </c>
    </row>
    <row r="150" spans="5:5" x14ac:dyDescent="0.2">
      <c r="E150" s="24">
        <f t="shared" si="3"/>
        <v>12.769999999999825</v>
      </c>
    </row>
    <row r="151" spans="5:5" x14ac:dyDescent="0.2">
      <c r="E151" s="24">
        <f t="shared" si="3"/>
        <v>12.769999999999825</v>
      </c>
    </row>
    <row r="152" spans="5:5" x14ac:dyDescent="0.2">
      <c r="E152" s="24">
        <f t="shared" si="3"/>
        <v>12.769999999999825</v>
      </c>
    </row>
    <row r="153" spans="5:5" x14ac:dyDescent="0.2">
      <c r="E153" s="24">
        <f t="shared" si="3"/>
        <v>12.769999999999825</v>
      </c>
    </row>
    <row r="154" spans="5:5" x14ac:dyDescent="0.2">
      <c r="E154" s="24">
        <f t="shared" si="3"/>
        <v>12.769999999999825</v>
      </c>
    </row>
    <row r="155" spans="5:5" x14ac:dyDescent="0.2">
      <c r="E155" s="24">
        <f t="shared" si="3"/>
        <v>12.769999999999825</v>
      </c>
    </row>
    <row r="156" spans="5:5" x14ac:dyDescent="0.2">
      <c r="E156" s="24">
        <f t="shared" si="3"/>
        <v>12.769999999999825</v>
      </c>
    </row>
    <row r="157" spans="5:5" x14ac:dyDescent="0.2">
      <c r="E157" s="24">
        <f t="shared" si="3"/>
        <v>12.769999999999825</v>
      </c>
    </row>
    <row r="158" spans="5:5" x14ac:dyDescent="0.2">
      <c r="E158" s="24">
        <f t="shared" si="3"/>
        <v>12.769999999999825</v>
      </c>
    </row>
    <row r="159" spans="5:5" x14ac:dyDescent="0.2">
      <c r="E159" s="24">
        <f t="shared" si="3"/>
        <v>12.769999999999825</v>
      </c>
    </row>
    <row r="160" spans="5:5" x14ac:dyDescent="0.2">
      <c r="E160" s="24">
        <f t="shared" si="3"/>
        <v>12.769999999999825</v>
      </c>
    </row>
    <row r="161" spans="5:5" x14ac:dyDescent="0.2">
      <c r="E161" s="24">
        <f t="shared" si="3"/>
        <v>12.769999999999825</v>
      </c>
    </row>
    <row r="162" spans="5:5" x14ac:dyDescent="0.2">
      <c r="E162" s="24">
        <f t="shared" si="3"/>
        <v>12.769999999999825</v>
      </c>
    </row>
    <row r="163" spans="5:5" x14ac:dyDescent="0.2">
      <c r="E163" s="24">
        <f t="shared" si="3"/>
        <v>12.769999999999825</v>
      </c>
    </row>
    <row r="164" spans="5:5" x14ac:dyDescent="0.2">
      <c r="E164" s="24">
        <f t="shared" si="3"/>
        <v>12.769999999999825</v>
      </c>
    </row>
    <row r="165" spans="5:5" x14ac:dyDescent="0.2">
      <c r="E165" s="24">
        <f t="shared" si="3"/>
        <v>12.769999999999825</v>
      </c>
    </row>
    <row r="166" spans="5:5" x14ac:dyDescent="0.2">
      <c r="E166" s="24">
        <f t="shared" si="3"/>
        <v>12.769999999999825</v>
      </c>
    </row>
    <row r="167" spans="5:5" x14ac:dyDescent="0.2">
      <c r="E167" s="24">
        <f t="shared" si="3"/>
        <v>12.769999999999825</v>
      </c>
    </row>
    <row r="168" spans="5:5" x14ac:dyDescent="0.2">
      <c r="E168" s="24">
        <f t="shared" si="3"/>
        <v>12.769999999999825</v>
      </c>
    </row>
    <row r="169" spans="5:5" x14ac:dyDescent="0.2">
      <c r="E169" s="24">
        <f t="shared" si="3"/>
        <v>12.769999999999825</v>
      </c>
    </row>
    <row r="170" spans="5:5" x14ac:dyDescent="0.2">
      <c r="E170" s="24">
        <f t="shared" si="3"/>
        <v>12.769999999999825</v>
      </c>
    </row>
    <row r="171" spans="5:5" x14ac:dyDescent="0.2">
      <c r="E171" s="24">
        <f t="shared" si="3"/>
        <v>12.769999999999825</v>
      </c>
    </row>
    <row r="172" spans="5:5" x14ac:dyDescent="0.2">
      <c r="E172" s="24">
        <f t="shared" si="3"/>
        <v>12.769999999999825</v>
      </c>
    </row>
    <row r="173" spans="5:5" x14ac:dyDescent="0.2">
      <c r="E173" s="24">
        <f t="shared" si="3"/>
        <v>12.769999999999825</v>
      </c>
    </row>
    <row r="174" spans="5:5" x14ac:dyDescent="0.2">
      <c r="E174" s="24">
        <f t="shared" si="3"/>
        <v>12.769999999999825</v>
      </c>
    </row>
    <row r="175" spans="5:5" x14ac:dyDescent="0.2">
      <c r="E175" s="24">
        <f t="shared" si="3"/>
        <v>12.769999999999825</v>
      </c>
    </row>
    <row r="176" spans="5:5" x14ac:dyDescent="0.2">
      <c r="E176" s="24">
        <f t="shared" si="3"/>
        <v>12.769999999999825</v>
      </c>
    </row>
    <row r="177" spans="5:5" x14ac:dyDescent="0.2">
      <c r="E177" s="24">
        <f t="shared" si="3"/>
        <v>12.769999999999825</v>
      </c>
    </row>
    <row r="178" spans="5:5" x14ac:dyDescent="0.2">
      <c r="E178" s="24">
        <f t="shared" si="3"/>
        <v>12.769999999999825</v>
      </c>
    </row>
    <row r="179" spans="5:5" x14ac:dyDescent="0.2">
      <c r="E179" s="24">
        <f t="shared" si="3"/>
        <v>12.769999999999825</v>
      </c>
    </row>
    <row r="180" spans="5:5" x14ac:dyDescent="0.2">
      <c r="E180" s="24">
        <f t="shared" si="3"/>
        <v>12.769999999999825</v>
      </c>
    </row>
    <row r="181" spans="5:5" x14ac:dyDescent="0.2">
      <c r="E181" s="24">
        <f t="shared" si="3"/>
        <v>12.769999999999825</v>
      </c>
    </row>
    <row r="182" spans="5:5" x14ac:dyDescent="0.2">
      <c r="E182" s="24">
        <f t="shared" si="3"/>
        <v>12.769999999999825</v>
      </c>
    </row>
    <row r="183" spans="5:5" x14ac:dyDescent="0.2">
      <c r="E183" s="24">
        <f t="shared" si="3"/>
        <v>12.769999999999825</v>
      </c>
    </row>
    <row r="184" spans="5:5" x14ac:dyDescent="0.2">
      <c r="E184" s="24">
        <f t="shared" si="3"/>
        <v>12.769999999999825</v>
      </c>
    </row>
    <row r="185" spans="5:5" x14ac:dyDescent="0.2">
      <c r="E185" s="24">
        <f t="shared" si="3"/>
        <v>12.769999999999825</v>
      </c>
    </row>
    <row r="186" spans="5:5" x14ac:dyDescent="0.2">
      <c r="E186" s="24">
        <f t="shared" si="3"/>
        <v>12.769999999999825</v>
      </c>
    </row>
    <row r="187" spans="5:5" x14ac:dyDescent="0.2">
      <c r="E187" s="24">
        <f t="shared" si="3"/>
        <v>12.769999999999825</v>
      </c>
    </row>
    <row r="188" spans="5:5" x14ac:dyDescent="0.2">
      <c r="E188" s="24">
        <f t="shared" si="3"/>
        <v>12.769999999999825</v>
      </c>
    </row>
    <row r="189" spans="5:5" x14ac:dyDescent="0.2">
      <c r="E189" s="24">
        <f t="shared" si="3"/>
        <v>12.769999999999825</v>
      </c>
    </row>
    <row r="190" spans="5:5" x14ac:dyDescent="0.2">
      <c r="E190" s="24">
        <f t="shared" si="3"/>
        <v>12.769999999999825</v>
      </c>
    </row>
    <row r="191" spans="5:5" x14ac:dyDescent="0.2">
      <c r="E191" s="24">
        <f t="shared" si="3"/>
        <v>12.769999999999825</v>
      </c>
    </row>
    <row r="192" spans="5:5" x14ac:dyDescent="0.2">
      <c r="E192" s="24">
        <f t="shared" si="3"/>
        <v>12.769999999999825</v>
      </c>
    </row>
  </sheetData>
  <autoFilter ref="A4:E192" xr:uid="{84BBF9FF-FC2F-9741-A3AE-94E19CF28329}"/>
  <mergeCells count="2">
    <mergeCell ref="A2:E2"/>
    <mergeCell ref="A1:E1"/>
  </mergeCells>
  <conditionalFormatting sqref="A51">
    <cfRule type="expression" dxfId="8" priority="1">
      <formula>#REF!&gt;500</formula>
    </cfRule>
  </conditionalFormatting>
  <conditionalFormatting sqref="A50:C50">
    <cfRule type="expression" dxfId="7" priority="8">
      <formula>#REF!&gt;500</formula>
    </cfRule>
  </conditionalFormatting>
  <conditionalFormatting sqref="A5:E49 D50 E50:E142 A52:D142 A143:E1048576">
    <cfRule type="expression" dxfId="6" priority="2">
      <formula>$D5&gt;500</formula>
    </cfRule>
  </conditionalFormatting>
  <conditionalFormatting sqref="B51:C51">
    <cfRule type="expression" dxfId="5" priority="7">
      <formula>$D50&gt;500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4823-34DB-EF43-B429-5D4E85B13EA5}">
  <dimension ref="A1:I1048576"/>
  <sheetViews>
    <sheetView tabSelected="1" topLeftCell="A1048568" zoomScale="132" zoomScaleNormal="132" workbookViewId="0">
      <selection activeCell="A1048576" sqref="A1048576"/>
    </sheetView>
  </sheetViews>
  <sheetFormatPr baseColWidth="10" defaultRowHeight="16" x14ac:dyDescent="0.2"/>
  <cols>
    <col min="1" max="1" width="26.1640625" style="1" customWidth="1"/>
    <col min="2" max="2" width="21.1640625" style="1" customWidth="1"/>
    <col min="3" max="3" width="20.1640625" style="1" customWidth="1"/>
    <col min="4" max="4" width="22.83203125" style="1" bestFit="1" customWidth="1"/>
    <col min="5" max="5" width="18.1640625" style="1" customWidth="1"/>
    <col min="8" max="8" width="13.83203125" bestFit="1" customWidth="1"/>
    <col min="9" max="9" width="15" bestFit="1" customWidth="1"/>
  </cols>
  <sheetData>
    <row r="1" spans="1:9" ht="22" x14ac:dyDescent="0.3">
      <c r="A1" s="68" t="s">
        <v>72</v>
      </c>
      <c r="B1" s="68"/>
      <c r="C1" s="68"/>
      <c r="D1" s="68"/>
      <c r="E1" s="68"/>
    </row>
    <row r="2" spans="1:9" ht="22" x14ac:dyDescent="0.3">
      <c r="A2" s="36" t="s">
        <v>7</v>
      </c>
      <c r="B2" s="37">
        <v>10000</v>
      </c>
      <c r="C2" s="40" t="s">
        <v>45</v>
      </c>
      <c r="D2" s="36" t="s">
        <v>39</v>
      </c>
      <c r="E2" s="44">
        <f>E100</f>
        <v>10.63000000000045</v>
      </c>
    </row>
    <row r="3" spans="1:9" x14ac:dyDescent="0.2">
      <c r="A3" s="38" t="s">
        <v>35</v>
      </c>
      <c r="B3" s="19" t="s">
        <v>3</v>
      </c>
      <c r="C3" s="39" t="s">
        <v>4</v>
      </c>
      <c r="D3" s="18" t="s">
        <v>5</v>
      </c>
      <c r="E3" s="16" t="s">
        <v>6</v>
      </c>
    </row>
    <row r="4" spans="1:9" x14ac:dyDescent="0.2">
      <c r="A4" s="29">
        <v>46082</v>
      </c>
      <c r="B4" s="1" t="s">
        <v>40</v>
      </c>
      <c r="C4" s="1">
        <v>12.77</v>
      </c>
      <c r="D4" s="1">
        <v>4666.67</v>
      </c>
      <c r="E4" s="24">
        <f>SUM(B2+C4-D4)</f>
        <v>5346.1</v>
      </c>
    </row>
    <row r="5" spans="1:9" x14ac:dyDescent="0.2">
      <c r="A5" s="29">
        <v>46082</v>
      </c>
      <c r="B5" s="1" t="s">
        <v>56</v>
      </c>
      <c r="D5" s="1">
        <v>137.5</v>
      </c>
      <c r="E5" s="24">
        <f>SUM(E4+C5-D5)</f>
        <v>5208.6000000000004</v>
      </c>
    </row>
    <row r="6" spans="1:9" x14ac:dyDescent="0.2">
      <c r="A6" s="29">
        <v>46082</v>
      </c>
      <c r="B6" s="1" t="s">
        <v>49</v>
      </c>
      <c r="D6" s="1">
        <v>66.67</v>
      </c>
      <c r="E6" s="24">
        <f t="shared" ref="E6:E69" si="0">SUM(E5+C6-D6)</f>
        <v>5141.93</v>
      </c>
    </row>
    <row r="7" spans="1:9" x14ac:dyDescent="0.2">
      <c r="A7" s="29">
        <v>46082</v>
      </c>
      <c r="B7" s="1" t="s">
        <v>73</v>
      </c>
      <c r="D7" s="1">
        <f>SUM(159.33+181.33)</f>
        <v>340.66</v>
      </c>
      <c r="E7" s="24">
        <f t="shared" si="0"/>
        <v>4801.2700000000004</v>
      </c>
    </row>
    <row r="8" spans="1:9" x14ac:dyDescent="0.2">
      <c r="A8" s="29">
        <v>46082</v>
      </c>
      <c r="B8" s="1" t="s">
        <v>74</v>
      </c>
      <c r="D8" s="1">
        <v>30.5</v>
      </c>
      <c r="E8" s="24">
        <f t="shared" si="0"/>
        <v>4770.7700000000004</v>
      </c>
    </row>
    <row r="9" spans="1:9" x14ac:dyDescent="0.2">
      <c r="A9" s="29">
        <v>46082</v>
      </c>
      <c r="B9" s="1" t="s">
        <v>75</v>
      </c>
      <c r="D9" s="1">
        <v>250</v>
      </c>
      <c r="E9" s="24">
        <f t="shared" si="0"/>
        <v>4520.7700000000004</v>
      </c>
    </row>
    <row r="10" spans="1:9" x14ac:dyDescent="0.2">
      <c r="A10" s="29">
        <v>46082</v>
      </c>
      <c r="B10" s="1" t="s">
        <v>44</v>
      </c>
      <c r="D10" s="1">
        <v>1250</v>
      </c>
      <c r="E10" s="24">
        <f t="shared" si="0"/>
        <v>3270.7700000000004</v>
      </c>
      <c r="H10" s="41" t="s">
        <v>76</v>
      </c>
      <c r="I10" t="s">
        <v>78</v>
      </c>
    </row>
    <row r="11" spans="1:9" x14ac:dyDescent="0.2">
      <c r="A11" s="29">
        <v>46082</v>
      </c>
      <c r="B11" s="1" t="s">
        <v>43</v>
      </c>
      <c r="D11" s="1">
        <f>SUM(1030.91-10.31+269.46+136.28+256.45)</f>
        <v>1682.7900000000002</v>
      </c>
      <c r="E11" s="24">
        <f t="shared" si="0"/>
        <v>1587.9800000000002</v>
      </c>
      <c r="H11" s="42" t="s">
        <v>85</v>
      </c>
      <c r="I11">
        <v>99.75</v>
      </c>
    </row>
    <row r="12" spans="1:9" x14ac:dyDescent="0.2">
      <c r="A12" s="10">
        <v>46083</v>
      </c>
      <c r="B12" s="1" t="s">
        <v>41</v>
      </c>
      <c r="D12" s="1">
        <f>SUM(306.65+25)</f>
        <v>331.65</v>
      </c>
      <c r="E12" s="24">
        <f t="shared" si="0"/>
        <v>1256.3300000000004</v>
      </c>
      <c r="H12" s="42" t="s">
        <v>13</v>
      </c>
      <c r="I12">
        <v>170</v>
      </c>
    </row>
    <row r="13" spans="1:9" x14ac:dyDescent="0.2">
      <c r="A13" s="10">
        <v>46083</v>
      </c>
      <c r="B13" s="1" t="s">
        <v>61</v>
      </c>
      <c r="D13" s="1">
        <v>55</v>
      </c>
      <c r="E13" s="24">
        <f t="shared" si="0"/>
        <v>1201.3300000000004</v>
      </c>
      <c r="H13" s="42" t="s">
        <v>61</v>
      </c>
      <c r="I13">
        <v>149</v>
      </c>
    </row>
    <row r="14" spans="1:9" x14ac:dyDescent="0.2">
      <c r="A14" s="9">
        <v>46084</v>
      </c>
      <c r="B14" s="1" t="s">
        <v>15</v>
      </c>
      <c r="D14" s="1">
        <v>180</v>
      </c>
      <c r="E14" s="24">
        <f t="shared" si="0"/>
        <v>1021.3300000000004</v>
      </c>
      <c r="H14" s="42" t="s">
        <v>56</v>
      </c>
      <c r="I14">
        <v>317.5</v>
      </c>
    </row>
    <row r="15" spans="1:9" x14ac:dyDescent="0.2">
      <c r="A15" s="43">
        <v>46085</v>
      </c>
      <c r="B15" s="1" t="s">
        <v>42</v>
      </c>
      <c r="D15" s="1">
        <f>SUM(8.25+13.33+2.25)</f>
        <v>23.83</v>
      </c>
      <c r="E15" s="24">
        <f t="shared" si="0"/>
        <v>997.50000000000034</v>
      </c>
      <c r="H15" s="42" t="s">
        <v>74</v>
      </c>
      <c r="I15">
        <v>30.5</v>
      </c>
    </row>
    <row r="16" spans="1:9" x14ac:dyDescent="0.2">
      <c r="A16" s="43">
        <v>46085</v>
      </c>
      <c r="B16" s="1" t="s">
        <v>79</v>
      </c>
      <c r="D16" s="1">
        <v>23.67</v>
      </c>
      <c r="E16" s="24">
        <f t="shared" si="0"/>
        <v>973.83000000000038</v>
      </c>
      <c r="H16" s="42" t="s">
        <v>15</v>
      </c>
      <c r="I16">
        <v>180</v>
      </c>
    </row>
    <row r="17" spans="1:9" x14ac:dyDescent="0.2">
      <c r="A17" s="43">
        <v>46085</v>
      </c>
      <c r="B17" s="1" t="s">
        <v>80</v>
      </c>
      <c r="D17" s="1">
        <v>15</v>
      </c>
      <c r="E17" s="24">
        <f t="shared" si="0"/>
        <v>958.83000000000038</v>
      </c>
      <c r="H17" s="42" t="s">
        <v>80</v>
      </c>
      <c r="I17">
        <v>45</v>
      </c>
    </row>
    <row r="18" spans="1:9" x14ac:dyDescent="0.2">
      <c r="A18" s="32">
        <v>46086</v>
      </c>
      <c r="B18" s="1" t="s">
        <v>42</v>
      </c>
      <c r="D18" s="1">
        <v>13.33</v>
      </c>
      <c r="E18" s="24">
        <f t="shared" si="0"/>
        <v>945.50000000000034</v>
      </c>
      <c r="H18" s="42" t="s">
        <v>49</v>
      </c>
      <c r="I18">
        <v>270.01000000000005</v>
      </c>
    </row>
    <row r="19" spans="1:9" x14ac:dyDescent="0.2">
      <c r="A19" s="32">
        <v>46086</v>
      </c>
      <c r="B19" s="1" t="s">
        <v>81</v>
      </c>
      <c r="D19" s="1">
        <v>11</v>
      </c>
      <c r="E19" s="24">
        <f t="shared" si="0"/>
        <v>934.50000000000034</v>
      </c>
      <c r="H19" s="42" t="s">
        <v>41</v>
      </c>
      <c r="I19">
        <v>331.65</v>
      </c>
    </row>
    <row r="20" spans="1:9" x14ac:dyDescent="0.2">
      <c r="A20" s="27">
        <v>46087</v>
      </c>
      <c r="B20" s="1" t="s">
        <v>42</v>
      </c>
      <c r="D20" s="1">
        <v>6.75</v>
      </c>
      <c r="E20" s="24">
        <f t="shared" si="0"/>
        <v>927.75000000000034</v>
      </c>
      <c r="H20" s="42" t="s">
        <v>70</v>
      </c>
      <c r="I20">
        <v>75.5</v>
      </c>
    </row>
    <row r="21" spans="1:9" x14ac:dyDescent="0.2">
      <c r="A21" s="27">
        <v>46087</v>
      </c>
      <c r="B21" s="1" t="s">
        <v>13</v>
      </c>
      <c r="D21" s="1">
        <v>50</v>
      </c>
      <c r="E21" s="24">
        <f t="shared" si="0"/>
        <v>877.75000000000034</v>
      </c>
      <c r="H21" s="42" t="s">
        <v>77</v>
      </c>
      <c r="I21">
        <v>1668.9099999999999</v>
      </c>
    </row>
    <row r="22" spans="1:9" x14ac:dyDescent="0.2">
      <c r="A22" s="29">
        <v>46088</v>
      </c>
      <c r="B22" s="1" t="s">
        <v>42</v>
      </c>
      <c r="D22" s="1">
        <v>12.25</v>
      </c>
      <c r="E22" s="24">
        <f t="shared" si="0"/>
        <v>865.50000000000034</v>
      </c>
    </row>
    <row r="23" spans="1:9" x14ac:dyDescent="0.2">
      <c r="A23" s="45">
        <v>46089</v>
      </c>
      <c r="B23" s="1" t="s">
        <v>82</v>
      </c>
      <c r="C23" s="1">
        <v>2000</v>
      </c>
      <c r="D23" s="1">
        <v>2056</v>
      </c>
      <c r="E23" s="24">
        <f t="shared" si="0"/>
        <v>809.50000000000045</v>
      </c>
    </row>
    <row r="24" spans="1:9" x14ac:dyDescent="0.2">
      <c r="A24" s="45">
        <v>46089</v>
      </c>
      <c r="B24" s="1" t="s">
        <v>83</v>
      </c>
      <c r="D24" s="1">
        <v>250</v>
      </c>
      <c r="E24" s="24">
        <f>SUM(E23+C24-D24)</f>
        <v>559.50000000000045</v>
      </c>
    </row>
    <row r="25" spans="1:9" x14ac:dyDescent="0.2">
      <c r="A25" s="45">
        <v>46089</v>
      </c>
      <c r="B25" s="1" t="s">
        <v>42</v>
      </c>
      <c r="D25" s="1">
        <v>8.5</v>
      </c>
      <c r="E25" s="24">
        <f t="shared" si="0"/>
        <v>551.00000000000045</v>
      </c>
    </row>
    <row r="26" spans="1:9" x14ac:dyDescent="0.2">
      <c r="A26" s="45">
        <v>46089</v>
      </c>
      <c r="B26" s="1" t="s">
        <v>49</v>
      </c>
      <c r="D26" s="1">
        <v>66.67</v>
      </c>
      <c r="E26" s="24">
        <f t="shared" si="0"/>
        <v>484.33000000000044</v>
      </c>
    </row>
    <row r="27" spans="1:9" x14ac:dyDescent="0.2">
      <c r="A27" s="45">
        <v>46089</v>
      </c>
      <c r="B27" s="1" t="s">
        <v>84</v>
      </c>
      <c r="D27" s="1">
        <f>SUM(12.5+25)</f>
        <v>37.5</v>
      </c>
      <c r="E27" s="24">
        <f t="shared" si="0"/>
        <v>446.83000000000044</v>
      </c>
    </row>
    <row r="28" spans="1:9" x14ac:dyDescent="0.2">
      <c r="A28" s="30">
        <v>46090</v>
      </c>
      <c r="B28" s="1" t="s">
        <v>85</v>
      </c>
      <c r="D28" s="1">
        <v>99.75</v>
      </c>
      <c r="E28" s="24">
        <f t="shared" si="0"/>
        <v>347.08000000000044</v>
      </c>
    </row>
    <row r="29" spans="1:9" x14ac:dyDescent="0.2">
      <c r="A29" s="30">
        <v>46090</v>
      </c>
      <c r="B29" s="1" t="s">
        <v>42</v>
      </c>
      <c r="D29" s="1">
        <v>8.25</v>
      </c>
      <c r="E29" s="24">
        <f t="shared" si="0"/>
        <v>338.83000000000044</v>
      </c>
    </row>
    <row r="30" spans="1:9" x14ac:dyDescent="0.2">
      <c r="A30" s="30">
        <v>46092</v>
      </c>
      <c r="B30" s="1" t="s">
        <v>83</v>
      </c>
      <c r="D30" s="1">
        <v>200</v>
      </c>
      <c r="E30" s="24">
        <f t="shared" si="0"/>
        <v>138.83000000000044</v>
      </c>
    </row>
    <row r="31" spans="1:9" x14ac:dyDescent="0.2">
      <c r="A31" s="30">
        <v>46092</v>
      </c>
      <c r="B31" s="1" t="s">
        <v>61</v>
      </c>
      <c r="D31" s="1">
        <v>47</v>
      </c>
      <c r="E31" s="24">
        <f t="shared" si="0"/>
        <v>91.830000000000439</v>
      </c>
    </row>
    <row r="32" spans="1:9" x14ac:dyDescent="0.2">
      <c r="A32" s="30">
        <v>46092</v>
      </c>
      <c r="B32" s="1" t="s">
        <v>70</v>
      </c>
      <c r="D32" s="1">
        <v>75.5</v>
      </c>
      <c r="E32" s="24">
        <f t="shared" si="0"/>
        <v>16.330000000000439</v>
      </c>
    </row>
    <row r="33" spans="1:5" x14ac:dyDescent="0.2">
      <c r="A33" s="30">
        <v>46092</v>
      </c>
      <c r="B33" s="1" t="s">
        <v>81</v>
      </c>
      <c r="D33" s="1">
        <v>16.5</v>
      </c>
      <c r="E33" s="24">
        <f t="shared" si="0"/>
        <v>-0.16999999999956117</v>
      </c>
    </row>
    <row r="34" spans="1:5" x14ac:dyDescent="0.2">
      <c r="A34" s="29">
        <v>46095</v>
      </c>
      <c r="B34" s="1" t="s">
        <v>86</v>
      </c>
      <c r="C34" s="1">
        <v>500</v>
      </c>
      <c r="E34" s="24">
        <f t="shared" si="0"/>
        <v>499.83000000000044</v>
      </c>
    </row>
    <row r="35" spans="1:5" x14ac:dyDescent="0.2">
      <c r="A35" s="29">
        <v>46095</v>
      </c>
      <c r="B35" s="1" t="s">
        <v>69</v>
      </c>
      <c r="D35" s="1">
        <v>30</v>
      </c>
      <c r="E35" s="24">
        <f t="shared" si="0"/>
        <v>469.83000000000044</v>
      </c>
    </row>
    <row r="36" spans="1:5" x14ac:dyDescent="0.2">
      <c r="A36" s="29">
        <v>46095</v>
      </c>
      <c r="B36" s="1" t="s">
        <v>49</v>
      </c>
      <c r="D36" s="1">
        <v>66.67</v>
      </c>
      <c r="E36" s="24">
        <f t="shared" si="0"/>
        <v>403.16000000000042</v>
      </c>
    </row>
    <row r="37" spans="1:5" x14ac:dyDescent="0.2">
      <c r="A37" s="29">
        <v>46095</v>
      </c>
      <c r="B37" s="1" t="s">
        <v>87</v>
      </c>
      <c r="D37" s="1">
        <v>250</v>
      </c>
      <c r="E37" s="24">
        <f t="shared" si="0"/>
        <v>153.16000000000042</v>
      </c>
    </row>
    <row r="38" spans="1:5" x14ac:dyDescent="0.2">
      <c r="A38" s="29">
        <v>46095</v>
      </c>
      <c r="B38" s="1" t="s">
        <v>88</v>
      </c>
      <c r="D38" s="1">
        <v>26.67</v>
      </c>
      <c r="E38" s="24">
        <f t="shared" si="0"/>
        <v>126.49000000000042</v>
      </c>
    </row>
    <row r="39" spans="1:5" x14ac:dyDescent="0.2">
      <c r="A39" s="29">
        <v>46095</v>
      </c>
      <c r="B39" s="1" t="s">
        <v>42</v>
      </c>
      <c r="D39" s="1">
        <v>5</v>
      </c>
      <c r="E39" s="24">
        <f t="shared" si="0"/>
        <v>121.49000000000042</v>
      </c>
    </row>
    <row r="40" spans="1:5" x14ac:dyDescent="0.2">
      <c r="A40" s="9">
        <v>46096</v>
      </c>
      <c r="B40" s="1" t="s">
        <v>42</v>
      </c>
      <c r="C40" s="1">
        <v>2</v>
      </c>
      <c r="D40" s="1">
        <v>12.5</v>
      </c>
      <c r="E40" s="24">
        <f t="shared" si="0"/>
        <v>110.99000000000042</v>
      </c>
    </row>
    <row r="41" spans="1:5" x14ac:dyDescent="0.2">
      <c r="A41" s="46">
        <v>46097</v>
      </c>
      <c r="B41" s="1" t="s">
        <v>89</v>
      </c>
      <c r="D41" s="1">
        <v>20</v>
      </c>
      <c r="E41" s="24">
        <f t="shared" si="0"/>
        <v>90.990000000000421</v>
      </c>
    </row>
    <row r="42" spans="1:5" x14ac:dyDescent="0.2">
      <c r="A42" s="46">
        <v>46097</v>
      </c>
      <c r="B42" s="1" t="s">
        <v>90</v>
      </c>
      <c r="D42" s="1">
        <v>50</v>
      </c>
      <c r="E42" s="24">
        <f t="shared" si="0"/>
        <v>40.990000000000421</v>
      </c>
    </row>
    <row r="43" spans="1:5" x14ac:dyDescent="0.2">
      <c r="A43" s="46">
        <v>46097</v>
      </c>
      <c r="B43" s="1" t="s">
        <v>91</v>
      </c>
      <c r="C43" s="1">
        <v>300</v>
      </c>
      <c r="E43" s="24">
        <f t="shared" si="0"/>
        <v>340.99000000000041</v>
      </c>
    </row>
    <row r="44" spans="1:5" x14ac:dyDescent="0.2">
      <c r="A44" s="46">
        <v>46097</v>
      </c>
      <c r="B44" s="1" t="s">
        <v>92</v>
      </c>
      <c r="D44" s="1">
        <v>340.75</v>
      </c>
      <c r="E44" s="24">
        <f>SUM(E43+C44-D44)</f>
        <v>0.240000000000407</v>
      </c>
    </row>
    <row r="45" spans="1:5" x14ac:dyDescent="0.2">
      <c r="A45" s="31">
        <v>46099</v>
      </c>
      <c r="B45" s="1" t="s">
        <v>93</v>
      </c>
      <c r="C45" s="1">
        <v>1600</v>
      </c>
      <c r="E45" s="24">
        <f>SUM(E44+C45-D45)</f>
        <v>1600.2400000000005</v>
      </c>
    </row>
    <row r="46" spans="1:5" x14ac:dyDescent="0.2">
      <c r="A46" s="31">
        <v>46099</v>
      </c>
      <c r="B46" s="1" t="s">
        <v>91</v>
      </c>
      <c r="C46" s="1">
        <v>22.1</v>
      </c>
      <c r="D46" s="1">
        <v>330</v>
      </c>
      <c r="E46" s="24">
        <f t="shared" si="0"/>
        <v>1292.3400000000004</v>
      </c>
    </row>
    <row r="47" spans="1:5" x14ac:dyDescent="0.2">
      <c r="A47" s="31">
        <v>46099</v>
      </c>
      <c r="B47" s="1" t="s">
        <v>94</v>
      </c>
      <c r="D47" s="1">
        <v>39</v>
      </c>
      <c r="E47" s="24">
        <f t="shared" si="0"/>
        <v>1253.3400000000004</v>
      </c>
    </row>
    <row r="48" spans="1:5" x14ac:dyDescent="0.2">
      <c r="A48" s="31">
        <v>46099</v>
      </c>
      <c r="B48" s="1" t="s">
        <v>95</v>
      </c>
      <c r="D48" s="1">
        <v>44</v>
      </c>
      <c r="E48" s="24">
        <f t="shared" si="0"/>
        <v>1209.3400000000004</v>
      </c>
    </row>
    <row r="49" spans="1:5" x14ac:dyDescent="0.2">
      <c r="A49" s="31">
        <v>46099</v>
      </c>
      <c r="B49" s="1" t="s">
        <v>49</v>
      </c>
      <c r="D49" s="1">
        <v>70</v>
      </c>
      <c r="E49" s="24">
        <f t="shared" si="0"/>
        <v>1139.3400000000004</v>
      </c>
    </row>
    <row r="50" spans="1:5" x14ac:dyDescent="0.2">
      <c r="A50" s="31">
        <v>46099</v>
      </c>
      <c r="B50" s="1" t="s">
        <v>96</v>
      </c>
      <c r="D50" s="1">
        <v>508</v>
      </c>
      <c r="E50" s="24">
        <f t="shared" si="0"/>
        <v>631.34000000000037</v>
      </c>
    </row>
    <row r="51" spans="1:5" x14ac:dyDescent="0.2">
      <c r="A51" s="31">
        <v>46099</v>
      </c>
      <c r="B51" s="1" t="s">
        <v>42</v>
      </c>
      <c r="D51" s="1">
        <v>12.5</v>
      </c>
      <c r="E51" s="24">
        <f t="shared" si="0"/>
        <v>618.84000000000037</v>
      </c>
    </row>
    <row r="52" spans="1:5" x14ac:dyDescent="0.2">
      <c r="A52" s="32">
        <v>46100</v>
      </c>
      <c r="B52" s="1" t="s">
        <v>13</v>
      </c>
      <c r="D52" s="1">
        <v>40</v>
      </c>
      <c r="E52" s="24">
        <f t="shared" si="0"/>
        <v>578.84000000000037</v>
      </c>
    </row>
    <row r="53" spans="1:5" x14ac:dyDescent="0.2">
      <c r="A53" s="32">
        <v>46100</v>
      </c>
      <c r="B53" s="1" t="s">
        <v>97</v>
      </c>
      <c r="D53" s="1">
        <v>300</v>
      </c>
      <c r="E53" s="24">
        <f t="shared" si="0"/>
        <v>278.84000000000037</v>
      </c>
    </row>
    <row r="54" spans="1:5" x14ac:dyDescent="0.2">
      <c r="A54" s="32">
        <v>46100</v>
      </c>
      <c r="B54" s="1" t="s">
        <v>42</v>
      </c>
      <c r="D54" s="1">
        <v>4</v>
      </c>
      <c r="E54" s="24">
        <f>SUM(E53+C54-D54)</f>
        <v>274.84000000000037</v>
      </c>
    </row>
    <row r="55" spans="1:5" x14ac:dyDescent="0.2">
      <c r="A55" s="12">
        <v>46101</v>
      </c>
      <c r="B55" s="1" t="s">
        <v>13</v>
      </c>
      <c r="D55" s="1">
        <v>80</v>
      </c>
      <c r="E55" s="24">
        <f t="shared" si="0"/>
        <v>194.84000000000037</v>
      </c>
    </row>
    <row r="56" spans="1:5" x14ac:dyDescent="0.2">
      <c r="A56" s="47">
        <v>46102</v>
      </c>
      <c r="B56" s="1" t="s">
        <v>98</v>
      </c>
      <c r="D56" s="1">
        <v>100</v>
      </c>
      <c r="E56" s="24">
        <f t="shared" si="0"/>
        <v>94.840000000000373</v>
      </c>
    </row>
    <row r="57" spans="1:5" x14ac:dyDescent="0.2">
      <c r="A57" s="47">
        <v>46102</v>
      </c>
      <c r="B57" s="1" t="s">
        <v>43</v>
      </c>
      <c r="C57" s="1">
        <v>951</v>
      </c>
      <c r="E57" s="24">
        <f t="shared" si="0"/>
        <v>1045.8400000000004</v>
      </c>
    </row>
    <row r="58" spans="1:5" x14ac:dyDescent="0.2">
      <c r="A58" s="47">
        <v>46102</v>
      </c>
      <c r="B58" s="1" t="s">
        <v>42</v>
      </c>
      <c r="D58" s="1">
        <f>SUM(3.33+6.25+9)</f>
        <v>18.579999999999998</v>
      </c>
      <c r="E58" s="24">
        <f t="shared" si="0"/>
        <v>1027.2600000000004</v>
      </c>
    </row>
    <row r="59" spans="1:5" x14ac:dyDescent="0.2">
      <c r="A59" s="47">
        <v>46102</v>
      </c>
      <c r="B59" s="1" t="s">
        <v>61</v>
      </c>
      <c r="D59" s="1">
        <v>47</v>
      </c>
      <c r="E59" s="24">
        <f t="shared" si="0"/>
        <v>980.26000000000045</v>
      </c>
    </row>
    <row r="60" spans="1:5" x14ac:dyDescent="0.2">
      <c r="A60" s="47">
        <v>46102</v>
      </c>
      <c r="B60" s="1" t="s">
        <v>84</v>
      </c>
      <c r="D60" s="1">
        <v>7.5</v>
      </c>
      <c r="E60" s="24">
        <f t="shared" si="0"/>
        <v>972.76000000000045</v>
      </c>
    </row>
    <row r="61" spans="1:5" x14ac:dyDescent="0.2">
      <c r="A61" s="47">
        <v>46102</v>
      </c>
      <c r="B61" s="1" t="s">
        <v>99</v>
      </c>
      <c r="D61" s="1">
        <f>SUM(68.33+61.67+8)</f>
        <v>138</v>
      </c>
      <c r="E61" s="24">
        <f t="shared" si="0"/>
        <v>834.76000000000045</v>
      </c>
    </row>
    <row r="62" spans="1:5" x14ac:dyDescent="0.2">
      <c r="A62" s="47">
        <v>46102</v>
      </c>
      <c r="B62" s="1" t="s">
        <v>56</v>
      </c>
      <c r="D62" s="1">
        <v>180</v>
      </c>
      <c r="E62" s="24">
        <f t="shared" si="0"/>
        <v>654.76000000000045</v>
      </c>
    </row>
    <row r="63" spans="1:5" x14ac:dyDescent="0.2">
      <c r="A63" s="47">
        <v>46102</v>
      </c>
      <c r="B63" s="1" t="s">
        <v>100</v>
      </c>
      <c r="D63" s="1">
        <v>45</v>
      </c>
      <c r="E63" s="24">
        <f t="shared" si="0"/>
        <v>609.76000000000045</v>
      </c>
    </row>
    <row r="64" spans="1:5" x14ac:dyDescent="0.2">
      <c r="A64" s="47">
        <v>46102</v>
      </c>
      <c r="B64" s="1" t="s">
        <v>80</v>
      </c>
      <c r="D64" s="1">
        <v>30</v>
      </c>
      <c r="E64" s="24">
        <f t="shared" si="0"/>
        <v>579.76000000000045</v>
      </c>
    </row>
    <row r="65" spans="1:5" x14ac:dyDescent="0.2">
      <c r="A65" s="47">
        <v>46102</v>
      </c>
      <c r="B65" s="1" t="s">
        <v>43</v>
      </c>
      <c r="D65" s="1">
        <v>259.45999999999998</v>
      </c>
      <c r="E65" s="24">
        <f t="shared" si="0"/>
        <v>320.30000000000047</v>
      </c>
    </row>
    <row r="66" spans="1:5" x14ac:dyDescent="0.2">
      <c r="A66" s="47">
        <v>46102</v>
      </c>
      <c r="B66" s="1" t="s">
        <v>14</v>
      </c>
      <c r="D66" s="1">
        <v>198</v>
      </c>
      <c r="E66" s="24">
        <f t="shared" si="0"/>
        <v>122.30000000000047</v>
      </c>
    </row>
    <row r="67" spans="1:5" x14ac:dyDescent="0.2">
      <c r="A67" s="9">
        <v>46104</v>
      </c>
      <c r="B67" s="1" t="s">
        <v>14</v>
      </c>
      <c r="D67" s="1">
        <v>100</v>
      </c>
      <c r="E67" s="24">
        <f t="shared" si="0"/>
        <v>22.300000000000466</v>
      </c>
    </row>
    <row r="68" spans="1:5" x14ac:dyDescent="0.2">
      <c r="A68" s="34">
        <v>46105</v>
      </c>
      <c r="B68" s="1" t="s">
        <v>43</v>
      </c>
      <c r="C68" s="1">
        <v>1912</v>
      </c>
      <c r="E68" s="24">
        <f t="shared" si="0"/>
        <v>1934.3000000000004</v>
      </c>
    </row>
    <row r="69" spans="1:5" x14ac:dyDescent="0.2">
      <c r="A69" s="34">
        <v>46105</v>
      </c>
      <c r="B69" s="1" t="s">
        <v>101</v>
      </c>
      <c r="D69" s="1">
        <f>SUM(1263.3-11.32)</f>
        <v>1251.98</v>
      </c>
      <c r="E69" s="24">
        <f t="shared" si="0"/>
        <v>682.32000000000039</v>
      </c>
    </row>
    <row r="70" spans="1:5" x14ac:dyDescent="0.2">
      <c r="A70" s="34">
        <v>46105</v>
      </c>
      <c r="B70" s="1" t="s">
        <v>43</v>
      </c>
      <c r="D70" s="1">
        <f>SUM(132.28+262.49+248.42)</f>
        <v>643.18999999999994</v>
      </c>
      <c r="E70" s="24">
        <f t="shared" ref="E70:E100" si="1">SUM(E69+C70-D70)</f>
        <v>39.13000000000045</v>
      </c>
    </row>
    <row r="71" spans="1:5" x14ac:dyDescent="0.2">
      <c r="A71" s="34">
        <v>46105</v>
      </c>
      <c r="B71" s="1" t="s">
        <v>16</v>
      </c>
      <c r="D71" s="1">
        <v>20</v>
      </c>
      <c r="E71" s="24">
        <f t="shared" si="1"/>
        <v>19.13000000000045</v>
      </c>
    </row>
    <row r="72" spans="1:5" x14ac:dyDescent="0.2">
      <c r="A72" s="28">
        <v>46110</v>
      </c>
      <c r="B72" s="1" t="s">
        <v>42</v>
      </c>
      <c r="D72" s="1">
        <v>8.5</v>
      </c>
      <c r="E72" s="24">
        <f t="shared" si="1"/>
        <v>10.63000000000045</v>
      </c>
    </row>
    <row r="73" spans="1:5" x14ac:dyDescent="0.2">
      <c r="E73" s="24">
        <f t="shared" si="1"/>
        <v>10.63000000000045</v>
      </c>
    </row>
    <row r="74" spans="1:5" x14ac:dyDescent="0.2">
      <c r="E74" s="24">
        <f t="shared" si="1"/>
        <v>10.63000000000045</v>
      </c>
    </row>
    <row r="75" spans="1:5" x14ac:dyDescent="0.2">
      <c r="E75" s="24">
        <f t="shared" si="1"/>
        <v>10.63000000000045</v>
      </c>
    </row>
    <row r="76" spans="1:5" x14ac:dyDescent="0.2">
      <c r="E76" s="24">
        <f t="shared" si="1"/>
        <v>10.63000000000045</v>
      </c>
    </row>
    <row r="77" spans="1:5" x14ac:dyDescent="0.2">
      <c r="E77" s="24">
        <f t="shared" si="1"/>
        <v>10.63000000000045</v>
      </c>
    </row>
    <row r="78" spans="1:5" x14ac:dyDescent="0.2">
      <c r="E78" s="24">
        <f t="shared" si="1"/>
        <v>10.63000000000045</v>
      </c>
    </row>
    <row r="79" spans="1:5" x14ac:dyDescent="0.2">
      <c r="E79" s="24">
        <f t="shared" si="1"/>
        <v>10.63000000000045</v>
      </c>
    </row>
    <row r="80" spans="1:5" x14ac:dyDescent="0.2">
      <c r="E80" s="24">
        <f t="shared" si="1"/>
        <v>10.63000000000045</v>
      </c>
    </row>
    <row r="81" spans="5:5" x14ac:dyDescent="0.2">
      <c r="E81" s="24">
        <f t="shared" si="1"/>
        <v>10.63000000000045</v>
      </c>
    </row>
    <row r="82" spans="5:5" x14ac:dyDescent="0.2">
      <c r="E82" s="24">
        <f t="shared" si="1"/>
        <v>10.63000000000045</v>
      </c>
    </row>
    <row r="83" spans="5:5" x14ac:dyDescent="0.2">
      <c r="E83" s="24">
        <f t="shared" si="1"/>
        <v>10.63000000000045</v>
      </c>
    </row>
    <row r="84" spans="5:5" x14ac:dyDescent="0.2">
      <c r="E84" s="24">
        <f t="shared" si="1"/>
        <v>10.63000000000045</v>
      </c>
    </row>
    <row r="85" spans="5:5" x14ac:dyDescent="0.2">
      <c r="E85" s="24">
        <f t="shared" si="1"/>
        <v>10.63000000000045</v>
      </c>
    </row>
    <row r="86" spans="5:5" x14ac:dyDescent="0.2">
      <c r="E86" s="24">
        <f t="shared" si="1"/>
        <v>10.63000000000045</v>
      </c>
    </row>
    <row r="87" spans="5:5" x14ac:dyDescent="0.2">
      <c r="E87" s="24">
        <f t="shared" si="1"/>
        <v>10.63000000000045</v>
      </c>
    </row>
    <row r="88" spans="5:5" x14ac:dyDescent="0.2">
      <c r="E88" s="24">
        <f t="shared" si="1"/>
        <v>10.63000000000045</v>
      </c>
    </row>
    <row r="89" spans="5:5" x14ac:dyDescent="0.2">
      <c r="E89" s="24">
        <f t="shared" si="1"/>
        <v>10.63000000000045</v>
      </c>
    </row>
    <row r="90" spans="5:5" x14ac:dyDescent="0.2">
      <c r="E90" s="24">
        <f t="shared" si="1"/>
        <v>10.63000000000045</v>
      </c>
    </row>
    <row r="91" spans="5:5" x14ac:dyDescent="0.2">
      <c r="E91" s="24">
        <f t="shared" si="1"/>
        <v>10.63000000000045</v>
      </c>
    </row>
    <row r="92" spans="5:5" x14ac:dyDescent="0.2">
      <c r="E92" s="24">
        <f t="shared" si="1"/>
        <v>10.63000000000045</v>
      </c>
    </row>
    <row r="93" spans="5:5" x14ac:dyDescent="0.2">
      <c r="E93" s="24">
        <f t="shared" si="1"/>
        <v>10.63000000000045</v>
      </c>
    </row>
    <row r="94" spans="5:5" x14ac:dyDescent="0.2">
      <c r="E94" s="24">
        <f t="shared" si="1"/>
        <v>10.63000000000045</v>
      </c>
    </row>
    <row r="95" spans="5:5" x14ac:dyDescent="0.2">
      <c r="E95" s="24">
        <f t="shared" si="1"/>
        <v>10.63000000000045</v>
      </c>
    </row>
    <row r="96" spans="5:5" x14ac:dyDescent="0.2">
      <c r="E96" s="24">
        <f t="shared" si="1"/>
        <v>10.63000000000045</v>
      </c>
    </row>
    <row r="97" spans="5:5" x14ac:dyDescent="0.2">
      <c r="E97" s="24">
        <f t="shared" si="1"/>
        <v>10.63000000000045</v>
      </c>
    </row>
    <row r="98" spans="5:5" x14ac:dyDescent="0.2">
      <c r="E98" s="24">
        <f t="shared" si="1"/>
        <v>10.63000000000045</v>
      </c>
    </row>
    <row r="99" spans="5:5" x14ac:dyDescent="0.2">
      <c r="E99" s="24">
        <f t="shared" si="1"/>
        <v>10.63000000000045</v>
      </c>
    </row>
    <row r="100" spans="5:5" x14ac:dyDescent="0.2">
      <c r="E100" s="24">
        <f t="shared" si="1"/>
        <v>10.63000000000045</v>
      </c>
    </row>
    <row r="1048576" spans="1:1" x14ac:dyDescent="0.2">
      <c r="A1048576" s="28"/>
    </row>
  </sheetData>
  <autoFilter ref="A3:E3" xr:uid="{D2904823-34DB-EF43-B429-5D4E85B13EA5}"/>
  <mergeCells count="1">
    <mergeCell ref="A1:E1"/>
  </mergeCells>
  <conditionalFormatting sqref="A4:E39 C40:E41 A40:A45 A42:E1048576">
    <cfRule type="expression" dxfId="4" priority="2">
      <formula>$D4&gt;500</formula>
    </cfRule>
  </conditionalFormatting>
  <conditionalFormatting sqref="A4:E1048576">
    <cfRule type="expression" dxfId="3" priority="1">
      <formula>$C4&gt;=500</formula>
    </cfRule>
  </conditionalFormatting>
  <conditionalFormatting sqref="B40">
    <cfRule type="expression" dxfId="2" priority="10">
      <formula>$D41&gt;500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3CBF-FD98-6D45-898C-10EBD01D0938}">
  <dimension ref="A1:E55"/>
  <sheetViews>
    <sheetView zoomScale="130" zoomScaleNormal="130" workbookViewId="0">
      <selection activeCell="G24" sqref="G24"/>
    </sheetView>
  </sheetViews>
  <sheetFormatPr baseColWidth="10" defaultRowHeight="16" x14ac:dyDescent="0.2"/>
  <cols>
    <col min="1" max="1" width="22.6640625" style="28" bestFit="1" customWidth="1"/>
    <col min="2" max="2" width="20.83203125" style="1" customWidth="1"/>
    <col min="3" max="3" width="21.5" style="1" bestFit="1" customWidth="1"/>
    <col min="4" max="4" width="22.83203125" style="1" bestFit="1" customWidth="1"/>
    <col min="5" max="5" width="16.33203125" style="1" customWidth="1"/>
  </cols>
  <sheetData>
    <row r="1" spans="1:5" ht="22" x14ac:dyDescent="0.3">
      <c r="A1" s="68" t="s">
        <v>103</v>
      </c>
      <c r="B1" s="68"/>
      <c r="C1" s="68"/>
      <c r="D1" s="68"/>
      <c r="E1" s="68"/>
    </row>
    <row r="2" spans="1:5" ht="22" x14ac:dyDescent="0.3">
      <c r="A2" s="48" t="s">
        <v>7</v>
      </c>
      <c r="B2" s="49">
        <v>14000</v>
      </c>
      <c r="C2" s="56" t="s">
        <v>102</v>
      </c>
      <c r="D2" s="48" t="s">
        <v>39</v>
      </c>
      <c r="E2" s="44">
        <f>E55</f>
        <v>549.61000000000035</v>
      </c>
    </row>
    <row r="3" spans="1:5" x14ac:dyDescent="0.2">
      <c r="A3" s="50" t="s">
        <v>35</v>
      </c>
      <c r="B3" s="51" t="s">
        <v>3</v>
      </c>
      <c r="C3" s="52" t="s">
        <v>4</v>
      </c>
      <c r="D3" s="53" t="s">
        <v>5</v>
      </c>
      <c r="E3" s="55" t="s">
        <v>6</v>
      </c>
    </row>
    <row r="4" spans="1:5" x14ac:dyDescent="0.2">
      <c r="A4" s="29">
        <v>46110</v>
      </c>
      <c r="B4" s="1" t="s">
        <v>104</v>
      </c>
      <c r="C4" s="54"/>
      <c r="D4" s="1">
        <f>SUM(298.34+79.17)</f>
        <v>377.51</v>
      </c>
      <c r="E4" s="24">
        <f>SUM(B2+C4-D4)</f>
        <v>13622.49</v>
      </c>
    </row>
    <row r="5" spans="1:5" x14ac:dyDescent="0.2">
      <c r="A5" s="9">
        <v>46111</v>
      </c>
      <c r="B5" s="1" t="s">
        <v>97</v>
      </c>
      <c r="D5" s="1">
        <v>3003.54</v>
      </c>
      <c r="E5" s="24">
        <f>SUM(E4+C5-D5)</f>
        <v>10618.95</v>
      </c>
    </row>
    <row r="6" spans="1:5" x14ac:dyDescent="0.2">
      <c r="A6" s="9">
        <v>46111</v>
      </c>
      <c r="B6" s="1" t="s">
        <v>42</v>
      </c>
      <c r="D6" s="1">
        <v>40</v>
      </c>
      <c r="E6" s="24">
        <f>SUM(E5+C6-D6)</f>
        <v>10578.95</v>
      </c>
    </row>
    <row r="7" spans="1:5" x14ac:dyDescent="0.2">
      <c r="A7" s="9">
        <v>46111</v>
      </c>
      <c r="B7" s="1" t="s">
        <v>43</v>
      </c>
      <c r="D7" s="1">
        <f>SUM(856.41+429.01)</f>
        <v>1285.42</v>
      </c>
      <c r="E7" s="24">
        <f>SUM(E6+C7-D7)</f>
        <v>9293.5300000000007</v>
      </c>
    </row>
    <row r="8" spans="1:5" x14ac:dyDescent="0.2">
      <c r="A8" s="9">
        <v>46111</v>
      </c>
      <c r="B8" s="1" t="s">
        <v>44</v>
      </c>
      <c r="D8" s="1">
        <v>1250</v>
      </c>
      <c r="E8" s="24">
        <f t="shared" ref="E8:E55" si="0">SUM(E7+C8-D8)</f>
        <v>8043.5300000000007</v>
      </c>
    </row>
    <row r="9" spans="1:5" x14ac:dyDescent="0.2">
      <c r="A9" s="57">
        <v>46112</v>
      </c>
      <c r="B9" s="1" t="s">
        <v>105</v>
      </c>
      <c r="D9" s="1">
        <v>858</v>
      </c>
      <c r="E9" s="24">
        <f t="shared" si="0"/>
        <v>7185.5300000000007</v>
      </c>
    </row>
    <row r="10" spans="1:5" x14ac:dyDescent="0.2">
      <c r="A10" s="57">
        <v>46112</v>
      </c>
      <c r="B10" s="1" t="s">
        <v>40</v>
      </c>
      <c r="D10" s="1">
        <v>4666.67</v>
      </c>
      <c r="E10" s="24">
        <f t="shared" si="0"/>
        <v>2518.8600000000006</v>
      </c>
    </row>
    <row r="11" spans="1:5" x14ac:dyDescent="0.2">
      <c r="A11" s="57">
        <v>46112</v>
      </c>
      <c r="B11" s="1" t="s">
        <v>61</v>
      </c>
      <c r="D11" s="1">
        <v>47</v>
      </c>
      <c r="E11" s="24">
        <f t="shared" si="0"/>
        <v>2471.8600000000006</v>
      </c>
    </row>
    <row r="12" spans="1:5" x14ac:dyDescent="0.2">
      <c r="A12" s="57">
        <v>46112</v>
      </c>
      <c r="B12" s="1" t="s">
        <v>42</v>
      </c>
      <c r="D12" s="1">
        <v>58.5</v>
      </c>
      <c r="E12" s="24">
        <f t="shared" si="0"/>
        <v>2413.3600000000006</v>
      </c>
    </row>
    <row r="13" spans="1:5" x14ac:dyDescent="0.2">
      <c r="A13" s="10">
        <v>46113</v>
      </c>
      <c r="B13" s="1" t="s">
        <v>15</v>
      </c>
      <c r="D13" s="1">
        <v>170</v>
      </c>
      <c r="E13" s="24">
        <f t="shared" si="0"/>
        <v>2243.3600000000006</v>
      </c>
    </row>
    <row r="14" spans="1:5" x14ac:dyDescent="0.2">
      <c r="A14" s="10">
        <v>46113</v>
      </c>
      <c r="B14" s="1" t="s">
        <v>83</v>
      </c>
      <c r="D14" s="1">
        <v>350</v>
      </c>
      <c r="E14" s="24">
        <f t="shared" si="0"/>
        <v>1893.3600000000006</v>
      </c>
    </row>
    <row r="15" spans="1:5" x14ac:dyDescent="0.2">
      <c r="A15" s="10">
        <v>46113</v>
      </c>
      <c r="B15" s="1" t="s">
        <v>13</v>
      </c>
      <c r="D15" s="1">
        <v>20</v>
      </c>
      <c r="E15" s="24">
        <f t="shared" si="0"/>
        <v>1873.3600000000006</v>
      </c>
    </row>
    <row r="16" spans="1:5" x14ac:dyDescent="0.2">
      <c r="A16" s="32">
        <v>46114</v>
      </c>
      <c r="B16" s="1" t="s">
        <v>14</v>
      </c>
      <c r="D16" s="1">
        <v>132</v>
      </c>
      <c r="E16" s="24">
        <f t="shared" si="0"/>
        <v>1741.3600000000006</v>
      </c>
    </row>
    <row r="17" spans="1:5" x14ac:dyDescent="0.2">
      <c r="A17" s="32">
        <v>46114</v>
      </c>
      <c r="B17" s="1" t="s">
        <v>106</v>
      </c>
      <c r="D17" s="1">
        <v>269.89999999999998</v>
      </c>
      <c r="E17" s="24">
        <f t="shared" si="0"/>
        <v>1471.4600000000005</v>
      </c>
    </row>
    <row r="18" spans="1:5" x14ac:dyDescent="0.2">
      <c r="A18" s="12">
        <v>46118</v>
      </c>
      <c r="B18" s="1" t="s">
        <v>85</v>
      </c>
      <c r="D18" s="1">
        <v>100</v>
      </c>
      <c r="E18" s="24">
        <f t="shared" si="0"/>
        <v>1371.4600000000005</v>
      </c>
    </row>
    <row r="19" spans="1:5" x14ac:dyDescent="0.2">
      <c r="A19" s="12">
        <v>46118</v>
      </c>
      <c r="B19" s="1" t="s">
        <v>42</v>
      </c>
      <c r="D19" s="1">
        <f>SUM(15.25+16.67)</f>
        <v>31.92</v>
      </c>
      <c r="E19" s="24">
        <f t="shared" si="0"/>
        <v>1339.5400000000004</v>
      </c>
    </row>
    <row r="20" spans="1:5" x14ac:dyDescent="0.2">
      <c r="A20" s="12">
        <v>46118</v>
      </c>
      <c r="B20" s="1" t="s">
        <v>47</v>
      </c>
      <c r="D20" s="1">
        <v>56.67</v>
      </c>
      <c r="E20" s="24">
        <f t="shared" si="0"/>
        <v>1282.8700000000003</v>
      </c>
    </row>
    <row r="21" spans="1:5" x14ac:dyDescent="0.2">
      <c r="A21" s="12">
        <v>46118</v>
      </c>
      <c r="B21" s="1" t="s">
        <v>107</v>
      </c>
      <c r="D21" s="1">
        <v>20</v>
      </c>
      <c r="E21" s="24">
        <f t="shared" si="0"/>
        <v>1262.8700000000003</v>
      </c>
    </row>
    <row r="22" spans="1:5" x14ac:dyDescent="0.2">
      <c r="A22" s="12">
        <v>46118</v>
      </c>
      <c r="B22" s="1" t="s">
        <v>49</v>
      </c>
      <c r="D22" s="1">
        <v>66.67</v>
      </c>
      <c r="E22" s="24">
        <f t="shared" si="0"/>
        <v>1196.2000000000003</v>
      </c>
    </row>
    <row r="23" spans="1:5" x14ac:dyDescent="0.2">
      <c r="A23" s="32">
        <v>46119</v>
      </c>
      <c r="B23" s="1" t="s">
        <v>14</v>
      </c>
      <c r="D23" s="1">
        <v>140</v>
      </c>
      <c r="E23" s="24">
        <f t="shared" si="0"/>
        <v>1056.2000000000003</v>
      </c>
    </row>
    <row r="24" spans="1:5" x14ac:dyDescent="0.2">
      <c r="A24" s="32">
        <v>46119</v>
      </c>
      <c r="B24" s="1" t="s">
        <v>108</v>
      </c>
      <c r="D24" s="1">
        <v>25</v>
      </c>
      <c r="E24" s="24">
        <f t="shared" si="0"/>
        <v>1031.2000000000003</v>
      </c>
    </row>
    <row r="25" spans="1:5" x14ac:dyDescent="0.2">
      <c r="A25" s="32">
        <v>46119</v>
      </c>
      <c r="B25" s="1" t="s">
        <v>109</v>
      </c>
      <c r="D25" s="1">
        <v>130</v>
      </c>
      <c r="E25" s="24">
        <f t="shared" si="0"/>
        <v>901.20000000000027</v>
      </c>
    </row>
    <row r="26" spans="1:5" x14ac:dyDescent="0.2">
      <c r="A26" s="10">
        <v>46121</v>
      </c>
      <c r="B26" s="1" t="s">
        <v>110</v>
      </c>
      <c r="D26" s="1">
        <v>60</v>
      </c>
      <c r="E26" s="24">
        <f t="shared" si="0"/>
        <v>841.20000000000027</v>
      </c>
    </row>
    <row r="27" spans="1:5" x14ac:dyDescent="0.2">
      <c r="A27" s="10">
        <v>46121</v>
      </c>
      <c r="B27" s="1" t="s">
        <v>61</v>
      </c>
      <c r="D27" s="1">
        <v>46</v>
      </c>
      <c r="E27" s="24">
        <f t="shared" si="0"/>
        <v>795.20000000000027</v>
      </c>
    </row>
    <row r="28" spans="1:5" x14ac:dyDescent="0.2">
      <c r="A28" s="10">
        <v>46121</v>
      </c>
      <c r="B28" s="1" t="s">
        <v>111</v>
      </c>
      <c r="D28" s="1">
        <v>44</v>
      </c>
      <c r="E28" s="24">
        <f t="shared" si="0"/>
        <v>751.20000000000027</v>
      </c>
    </row>
    <row r="29" spans="1:5" x14ac:dyDescent="0.2">
      <c r="A29" s="10">
        <v>46121</v>
      </c>
      <c r="B29" s="1" t="s">
        <v>42</v>
      </c>
      <c r="D29" s="1">
        <f>SUM(2.25+8+10.67+7.5+4.5)</f>
        <v>32.92</v>
      </c>
      <c r="E29" s="24">
        <f t="shared" si="0"/>
        <v>718.28000000000031</v>
      </c>
    </row>
    <row r="30" spans="1:5" x14ac:dyDescent="0.2">
      <c r="A30" s="10">
        <v>46121</v>
      </c>
      <c r="B30" s="1" t="s">
        <v>79</v>
      </c>
      <c r="D30" s="1">
        <v>29.67</v>
      </c>
      <c r="E30" s="24">
        <f t="shared" si="0"/>
        <v>688.61000000000035</v>
      </c>
    </row>
    <row r="31" spans="1:5" x14ac:dyDescent="0.2">
      <c r="A31" s="10">
        <v>46121</v>
      </c>
      <c r="B31" s="1" t="s">
        <v>112</v>
      </c>
      <c r="D31" s="1">
        <v>110</v>
      </c>
      <c r="E31" s="24">
        <f t="shared" si="0"/>
        <v>578.61000000000035</v>
      </c>
    </row>
    <row r="32" spans="1:5" x14ac:dyDescent="0.2">
      <c r="A32" s="10">
        <v>46121</v>
      </c>
      <c r="B32" s="1" t="s">
        <v>80</v>
      </c>
      <c r="D32" s="1">
        <v>29</v>
      </c>
      <c r="E32" s="24">
        <f t="shared" si="0"/>
        <v>549.61000000000035</v>
      </c>
    </row>
    <row r="33" spans="5:5" x14ac:dyDescent="0.2">
      <c r="E33" s="24">
        <f t="shared" si="0"/>
        <v>549.61000000000035</v>
      </c>
    </row>
    <row r="34" spans="5:5" x14ac:dyDescent="0.2">
      <c r="E34" s="24">
        <f t="shared" si="0"/>
        <v>549.61000000000035</v>
      </c>
    </row>
    <row r="35" spans="5:5" x14ac:dyDescent="0.2">
      <c r="E35" s="24">
        <f t="shared" si="0"/>
        <v>549.61000000000035</v>
      </c>
    </row>
    <row r="36" spans="5:5" x14ac:dyDescent="0.2">
      <c r="E36" s="24">
        <f t="shared" si="0"/>
        <v>549.61000000000035</v>
      </c>
    </row>
    <row r="37" spans="5:5" x14ac:dyDescent="0.2">
      <c r="E37" s="24">
        <f t="shared" si="0"/>
        <v>549.61000000000035</v>
      </c>
    </row>
    <row r="38" spans="5:5" x14ac:dyDescent="0.2">
      <c r="E38" s="24">
        <f t="shared" si="0"/>
        <v>549.61000000000035</v>
      </c>
    </row>
    <row r="39" spans="5:5" x14ac:dyDescent="0.2">
      <c r="E39" s="24">
        <f t="shared" si="0"/>
        <v>549.61000000000035</v>
      </c>
    </row>
    <row r="40" spans="5:5" x14ac:dyDescent="0.2">
      <c r="E40" s="24">
        <f t="shared" si="0"/>
        <v>549.61000000000035</v>
      </c>
    </row>
    <row r="41" spans="5:5" x14ac:dyDescent="0.2">
      <c r="E41" s="24">
        <f t="shared" si="0"/>
        <v>549.61000000000035</v>
      </c>
    </row>
    <row r="42" spans="5:5" x14ac:dyDescent="0.2">
      <c r="E42" s="24">
        <f t="shared" si="0"/>
        <v>549.61000000000035</v>
      </c>
    </row>
    <row r="43" spans="5:5" x14ac:dyDescent="0.2">
      <c r="E43" s="24">
        <f t="shared" si="0"/>
        <v>549.61000000000035</v>
      </c>
    </row>
    <row r="44" spans="5:5" x14ac:dyDescent="0.2">
      <c r="E44" s="24">
        <f t="shared" si="0"/>
        <v>549.61000000000035</v>
      </c>
    </row>
    <row r="45" spans="5:5" x14ac:dyDescent="0.2">
      <c r="E45" s="24">
        <f t="shared" si="0"/>
        <v>549.61000000000035</v>
      </c>
    </row>
    <row r="46" spans="5:5" x14ac:dyDescent="0.2">
      <c r="E46" s="24">
        <f t="shared" si="0"/>
        <v>549.61000000000035</v>
      </c>
    </row>
    <row r="47" spans="5:5" x14ac:dyDescent="0.2">
      <c r="E47" s="24">
        <f t="shared" si="0"/>
        <v>549.61000000000035</v>
      </c>
    </row>
    <row r="48" spans="5:5" x14ac:dyDescent="0.2">
      <c r="E48" s="24">
        <f t="shared" si="0"/>
        <v>549.61000000000035</v>
      </c>
    </row>
    <row r="49" spans="5:5" x14ac:dyDescent="0.2">
      <c r="E49" s="24">
        <f t="shared" si="0"/>
        <v>549.61000000000035</v>
      </c>
    </row>
    <row r="50" spans="5:5" x14ac:dyDescent="0.2">
      <c r="E50" s="24">
        <f t="shared" si="0"/>
        <v>549.61000000000035</v>
      </c>
    </row>
    <row r="51" spans="5:5" x14ac:dyDescent="0.2">
      <c r="E51" s="24">
        <f t="shared" si="0"/>
        <v>549.61000000000035</v>
      </c>
    </row>
    <row r="52" spans="5:5" x14ac:dyDescent="0.2">
      <c r="E52" s="24">
        <f t="shared" si="0"/>
        <v>549.61000000000035</v>
      </c>
    </row>
    <row r="53" spans="5:5" x14ac:dyDescent="0.2">
      <c r="E53" s="24">
        <f t="shared" si="0"/>
        <v>549.61000000000035</v>
      </c>
    </row>
    <row r="54" spans="5:5" x14ac:dyDescent="0.2">
      <c r="E54" s="24">
        <f t="shared" si="0"/>
        <v>549.61000000000035</v>
      </c>
    </row>
    <row r="55" spans="5:5" x14ac:dyDescent="0.2">
      <c r="E55" s="24">
        <f t="shared" si="0"/>
        <v>549.61000000000035</v>
      </c>
    </row>
  </sheetData>
  <autoFilter ref="A3:E3" xr:uid="{D35C3CBF-FD98-6D45-898C-10EBD01D0938}"/>
  <mergeCells count="1">
    <mergeCell ref="A1:E1"/>
  </mergeCells>
  <conditionalFormatting sqref="A4:E100">
    <cfRule type="expression" dxfId="1" priority="1">
      <formula>$C4&gt;=500</formula>
    </cfRule>
    <cfRule type="expression" dxfId="0" priority="2">
      <formula>$D4&gt;=500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recoed sheet</vt:lpstr>
      <vt:lpstr>FEB-2026</vt:lpstr>
      <vt:lpstr>MAR-2026</vt:lpstr>
      <vt:lpstr>APRIL-2026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Pathania</dc:creator>
  <cp:lastModifiedBy>Aryan Pathania</cp:lastModifiedBy>
  <dcterms:created xsi:type="dcterms:W3CDTF">2026-01-20T16:32:55Z</dcterms:created>
  <dcterms:modified xsi:type="dcterms:W3CDTF">2026-04-12T13:39:45Z</dcterms:modified>
</cp:coreProperties>
</file>